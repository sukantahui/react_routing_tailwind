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1_Loan_Interest_EMI" state="visible" r:id="rId5"/>
    <sheet sheetId="3" name="Ex2_Multi_Output_EMI" state="visible" r:id="rId6"/>
    <sheet sheetId="4" name="Ex3_BreakEven_Production" state="visible" r:id="rId7"/>
    <sheet sheetId="5" name="Ex4_Capex_WACC_NPV" state="visible" r:id="rId8"/>
    <sheet sheetId="6" name="Ex5_RealEstate_Occupancy" state="visible" r:id="rId9"/>
    <sheet sheetId="7" name="Ex6_Multi_Output_FX" state="visible" r:id="rId10"/>
    <sheet sheetId="8" name="Ex7_Row_Oriented_Table" state="visible" r:id="rId11"/>
    <sheet sheetId="9" name="Ex8_Performance_Tuning" state="visible" r:id="rId12"/>
    <sheet sheetId="10" name="Ex9_Two_Var_Price_Volume" state="visible" r:id="rId13"/>
    <sheet sheetId="11" name="Ex10_Scenario_Manager" state="visible" r:id="rId14"/>
    <sheet sheetId="12" name="Ex11_Goal_Seek_BreakEven" state="visible" r:id="rId15"/>
  </sheets>
  <calcPr calcId="171027"/>
</workbook>
</file>

<file path=xl/sharedStrings.xml><?xml version="1.0" encoding="utf-8"?>
<sst xmlns="http://schemas.openxmlformats.org/spreadsheetml/2006/main" count="275" uniqueCount="241">
  <si>
    <t>CODER &amp; ACCOTAX · WHAT-IF ANALYSIS MASTER WORKBOOK</t>
  </si>
  <si>
    <t>ISO 9001:2015 Certified Centre of Excellence in Computer Science, Advanced Excel &amp; Financial Modeling</t>
  </si>
  <si>
    <t>Module 003_003: What-If Analysis, Scenario Planning, 1-Var &amp; 2-Var Data Tables, Goal Seek &amp; Solver</t>
  </si>
  <si>
    <t>👨‍🏫 LEAD COURSE MENTOR &amp; CORPORATE TRAINER PROFILE</t>
  </si>
  <si>
    <t>Instructor Name</t>
  </si>
  <si>
    <t>Sukanta Hui</t>
  </si>
  <si>
    <t>Designation</t>
  </si>
  <si>
    <t>Senior Technology Educator &amp; Financial Modeling Trainer</t>
  </si>
  <si>
    <t>Institution</t>
  </si>
  <si>
    <t>Founder, Coder &amp; AccoTax</t>
  </si>
  <si>
    <t>Experience</t>
  </si>
  <si>
    <t>25+ Years in Software Engineering, Accounts &amp; Analytics</t>
  </si>
  <si>
    <t>Campus Location</t>
  </si>
  <si>
    <t>Barrackpore, Kolkata 700122, WB</t>
  </si>
  <si>
    <t>Specialization</t>
  </si>
  <si>
    <t>Financial Modeling (FAST), Advanced Excel, Power BI, Python</t>
  </si>
  <si>
    <t>Direct Helpline</t>
  </si>
  <si>
    <t>+91 70037 56860 (WhatsApp)</t>
  </si>
  <si>
    <t>Official Email</t>
  </si>
  <si>
    <t>sukantahui@codernaccotax.co.in | info@codernaccotax.co.in</t>
  </si>
  <si>
    <t>Web Portal</t>
  </si>
  <si>
    <t>https://www.codernaccotax.co.in</t>
  </si>
  <si>
    <t>Student Support</t>
  </si>
  <si>
    <t>Dedicated Doubt Clearance &amp; Masterclass Mentorship</t>
  </si>
  <si>
    <t>⌨️ CORE WHAT-IF ANALYSIS SHORTCUTS &amp; ACCESS PATHWAYS</t>
  </si>
  <si>
    <t>Tool</t>
  </si>
  <si>
    <t>Ribbon Access Pathway</t>
  </si>
  <si>
    <t>Keyboard Accelerator</t>
  </si>
  <si>
    <t>Primary Architectural Function</t>
  </si>
  <si>
    <t>Data Table</t>
  </si>
  <si>
    <t>Data &gt; Forecast &gt; What-If Analysis &gt; Data Table</t>
  </si>
  <si>
    <t>Alt + A + W + T</t>
  </si>
  <si>
    <t>Systematic 1D &amp; 2D sensitivity matrix calculation</t>
  </si>
  <si>
    <t>Goal Seek</t>
  </si>
  <si>
    <t>Data &gt; Forecast &gt; What-If Analysis &gt; Goal Seek</t>
  </si>
  <si>
    <t>Alt + A + W + G</t>
  </si>
  <si>
    <t>Single-variable reverse engineering to hit target</t>
  </si>
  <si>
    <t>Scenario Manager</t>
  </si>
  <si>
    <t>Data &gt; Forecast &gt; What-If Analysis &gt; Scenario Manager</t>
  </si>
  <si>
    <t>Alt + A + W + S</t>
  </si>
  <si>
    <t>Multi-scenario comparison (Best, Base, Worst Case)</t>
  </si>
  <si>
    <t>Performance Recalc</t>
  </si>
  <si>
    <t>Formulas &gt; Calculation Options &gt; Auto Except Tables</t>
  </si>
  <si>
    <t>Alt + M + X + E</t>
  </si>
  <si>
    <t>Suppresses table calculation freezes; refresh with F9</t>
  </si>
  <si>
    <t>Solver Add-in</t>
  </si>
  <si>
    <t>Data &gt; Analyze &gt; Solver</t>
  </si>
  <si>
    <t>Alt + A + Y + 2</t>
  </si>
  <si>
    <t>Constrained linear/nonlinear mathematical optimization</t>
  </si>
  <si>
    <t>📑 WORKBOOK EXERCISE SHEETS DIRECTORY (CLICK TO JUMP)</t>
  </si>
  <si>
    <t>Sheet Tab (Click to Open)</t>
  </si>
  <si>
    <t>Project / Model Title</t>
  </si>
  <si>
    <t>What-If Technique</t>
  </si>
  <si>
    <t>Table Formula / Code</t>
  </si>
  <si>
    <t>Description</t>
  </si>
  <si>
    <t>Status</t>
  </si>
  <si>
    <t>▶ Ex1_Loan_Interest_EMI</t>
  </si>
  <si>
    <t>Commercial Loan Interest Rate Sensitivity</t>
  </si>
  <si>
    <t>1-Var Data Table (Column)</t>
  </si>
  <si>
    <t>{=TABLE(, B6)}</t>
  </si>
  <si>
    <t>Tests 7.0% to 12.0% rates against Monthly EMI (=B9)</t>
  </si>
  <si>
    <t>✓ Verified Model</t>
  </si>
  <si>
    <t>▶ Ex2_Multi_Output_EMI</t>
  </si>
  <si>
    <t>Multi-Output Loan Outflow Analysis</t>
  </si>
  <si>
    <t>1-Var Data Table (Multi-Col)</t>
  </si>
  <si>
    <t>Simultaneously evaluates EMI, Total Payment &amp; Total Interest</t>
  </si>
  <si>
    <t>▶ Ex3_BreakEven_Production</t>
  </si>
  <si>
    <t>Manufacturing Volume vs EBIT Break-Even</t>
  </si>
  <si>
    <t>1-Var Data Table (Cost/EBIT)</t>
  </si>
  <si>
    <t>{=TABLE(, B9)}</t>
  </si>
  <si>
    <t>Evaluates fixed cost absorption across 5k to 30k units</t>
  </si>
  <si>
    <t>▶ Ex4_Capex_WACC_NPV</t>
  </si>
  <si>
    <t>Discount Rate (WACC) Sensitivity on Project NPV</t>
  </si>
  <si>
    <t>1-Var Data Table (DCF/NPV)</t>
  </si>
  <si>
    <t>{=TABLE(, B12)}</t>
  </si>
  <si>
    <t>Identifies hurdle rate &amp; zero-NPV IRR point (21.4%)</t>
  </si>
  <si>
    <t>▶ Ex5_RealEstate_Occupancy</t>
  </si>
  <si>
    <t>Commercial Park Occupancy vs NOI &amp; DSCR</t>
  </si>
  <si>
    <t>1-Var Data Table (Real Estate)</t>
  </si>
  <si>
    <t>{=TABLE(, B7)}</t>
  </si>
  <si>
    <t>Tests 60% to 100% occupancy against Debt Service Buffer</t>
  </si>
  <si>
    <t>▶ Ex6_Multi_Output_FX</t>
  </si>
  <si>
    <t>USD/INR Spot Exchange Rate Sensitivity Matrix</t>
  </si>
  <si>
    <t>1-Var Data Table (Forex Risk)</t>
  </si>
  <si>
    <t>{=TABLE(, B8)}</t>
  </si>
  <si>
    <t>Evaluates export revenues and landed margin volatility</t>
  </si>
  <si>
    <t>▶ Ex7_Row_Oriented_Table</t>
  </si>
  <si>
    <t>Row-Oriented Product Price Sensitivity Table</t>
  </si>
  <si>
    <t>1-Var Data Table (Horizontal)</t>
  </si>
  <si>
    <t>{=TABLE(B5, )}</t>
  </si>
  <si>
    <t>Horizontal price steps across Row 4 with formula in D5</t>
  </si>
  <si>
    <t>▶ Ex8_Performance_Tuning</t>
  </si>
  <si>
    <t>Calculation Engine Optimization &amp; Benchmarking</t>
  </si>
  <si>
    <t>Performance Tuning</t>
  </si>
  <si>
    <t>Automatic except Data Tables configuration guide &amp; lab</t>
  </si>
  <si>
    <t>▶ Ex9_Two_Var_Price_Volume</t>
  </si>
  <si>
    <t>Two-Variable Price vs Volume Profit Matrix</t>
  </si>
  <si>
    <t>2-Var Data Table (2D Grid)</t>
  </si>
  <si>
    <t>{=TABLE(B6, B5)}</t>
  </si>
  <si>
    <t>2D matrix testing Unit Price vs Production Volume</t>
  </si>
  <si>
    <t>▶ Ex10_Scenario_Manager</t>
  </si>
  <si>
    <t>Scenario Manager: Best, Base &amp; Worst Case</t>
  </si>
  <si>
    <t>Scenario Planning</t>
  </si>
  <si>
    <t>Multi-input macroeconomic scenario modeling &amp; summary report</t>
  </si>
  <si>
    <t>▶ Ex11_Goal_Seek_BreakEven</t>
  </si>
  <si>
    <t>Goal Seek: Target Profit &amp; EMI Reverse Engineering</t>
  </si>
  <si>
    <t>Reverse engineering target sales volume to hit break-even EBIT</t>
  </si>
  <si>
    <t>🏠 Back to Master Overview</t>
  </si>
  <si>
    <t>Exercise 1: Commercial Loan Interest Rate Sensitivity Table</t>
  </si>
  <si>
    <t>Topic 2: 1-Variable Column-Oriented Data Table | Formula: {=TABLE(, B6)}</t>
  </si>
  <si>
    <t>1. BASELINE LOAN MODEL</t>
  </si>
  <si>
    <t>2. ONE-VARIABLE DATA TABLE (COLUMN-ORIENTED)</t>
  </si>
  <si>
    <t>Loan Principal (₹)</t>
  </si>
  <si>
    <t>Scenario Rate</t>
  </si>
  <si>
    <t>Annual Interest Rate</t>
  </si>
  <si>
    <t>Loan Tenure (Years)</t>
  </si>
  <si>
    <t>Total Monthly Tenure</t>
  </si>
  <si>
    <t>Monthly EMI (₹)</t>
  </si>
  <si>
    <t xml:space="preserve">💡 HOW TO CONSTRUCT THIS DATA TABLE IN EXCEL:
1. Select range D6:E17 (both input rates and top formula header).
2. Navigate to: Data Tab &gt; Forecast Group &gt; What-If Analysis &gt; Data Table (Shortcut: Alt + A + W + T).
3. Leave 'Row input cell' BLANK.
4. Set 'Column input cell' to: B7 (the Annual Interest Rate cell in the base model).
5. Click OK. Excel wraps the range in the dynamic array: {=TABLE(, B7)}.</t>
  </si>
  <si>
    <t>Exercise 2: Multi-Output One-Variable Sensitivity Evaluation</t>
  </si>
  <si>
    <t>Topic 2: Evaluating Monthly EMI, Total Outflow &amp; Total Interest in 1 Table</t>
  </si>
  <si>
    <t>2. MULTI-OUTPUT SENSITIVITY TABLE</t>
  </si>
  <si>
    <t>Interest Rate</t>
  </si>
  <si>
    <t>Tenure (Years)</t>
  </si>
  <si>
    <t>Total Months</t>
  </si>
  <si>
    <t>Total Outflow (₹)</t>
  </si>
  <si>
    <t>Total Interest Paid (₹)</t>
  </si>
  <si>
    <t>Exercise 3: Manufacturing Volume vs EBIT Operating Leverage</t>
  </si>
  <si>
    <t>Topic 2: Analyzing Fixed Cost Absorption across Production Tiers</t>
  </si>
  <si>
    <t>1. COST &amp; PROFIT MODEL</t>
  </si>
  <si>
    <t>2. PRODUCTION VOLUME SENSITIVITY TABLE</t>
  </si>
  <si>
    <t>Selling Price per Unit (₹)</t>
  </si>
  <si>
    <t>Production Units</t>
  </si>
  <si>
    <t>Variable Cost per Unit (₹)</t>
  </si>
  <si>
    <t>Unit Contribution Margin (₹)</t>
  </si>
  <si>
    <t>Fixed Factory Overhead (₹)</t>
  </si>
  <si>
    <t>Baseline Volume (Units)</t>
  </si>
  <si>
    <t>Gross Revenue (₹)</t>
  </si>
  <si>
    <t>Total Variable Costs (₹)</t>
  </si>
  <si>
    <t>Net Operating EBIT (₹)</t>
  </si>
  <si>
    <t>Exercise 4: Discount Rate (WACC) Sensitivity on Project NPV</t>
  </si>
  <si>
    <t>Topic 2: Finding Zero-NPV Hurdle Rate (IRR = 21.4%) via Data Table</t>
  </si>
  <si>
    <t>1. 5-YEAR CAPEX CASH FLOWS</t>
  </si>
  <si>
    <t>2. WACC SENSITIVITY TABLE</t>
  </si>
  <si>
    <t>Year 0 Outlay (₹)</t>
  </si>
  <si>
    <t>Discount Rate</t>
  </si>
  <si>
    <t>Year 1 Cash Inflow (₹)</t>
  </si>
  <si>
    <t>Year 2 Cash Inflow (₹)</t>
  </si>
  <si>
    <t>Year 3 Cash Inflow (₹)</t>
  </si>
  <si>
    <t>Year 4 Cash Inflow (₹)</t>
  </si>
  <si>
    <t>Year 5 Cash Inflow (₹)</t>
  </si>
  <si>
    <t>Baseline WACC Rate</t>
  </si>
  <si>
    <t>Project Net Present Value</t>
  </si>
  <si>
    <t>Internal Rate of Return</t>
  </si>
  <si>
    <t>Exercise 5: Real Estate Occupancy Rate vs NOI &amp; DSCR</t>
  </si>
  <si>
    <t>Topic 2: Stress-Testing Debt Service Coverage Buffers under Vacancy</t>
  </si>
  <si>
    <t>1. COMMERCIAL PROPERTY MODEL</t>
  </si>
  <si>
    <t>2. OCCUPANCY SENSITIVITY TABLE</t>
  </si>
  <si>
    <t>Total Leasable Area (Sq.Ft)</t>
  </si>
  <si>
    <t>Occupancy %</t>
  </si>
  <si>
    <t>Annual Rent per Sq.Ft (₹)</t>
  </si>
  <si>
    <t>Baseline Occupancy Rate</t>
  </si>
  <si>
    <t>Operating Expense Ratio</t>
  </si>
  <si>
    <t>Annual Debt Service EMI (₹)</t>
  </si>
  <si>
    <t>Gross Rental Income (₹)</t>
  </si>
  <si>
    <t>Net Operating Income (₹)</t>
  </si>
  <si>
    <t>DSCR Coverage Ratio</t>
  </si>
  <si>
    <t>Exercise 6: USD/INR Spot Exchange Rate Sensitivity Matrix</t>
  </si>
  <si>
    <t>Topic 2: Measuring Landed Margin Volatility Across Currency Fluctuations</t>
  </si>
  <si>
    <t>1. EXPORT CONTRACT FINANCIALS</t>
  </si>
  <si>
    <t>2. FOREX RATE SENSITIVITY TABLE</t>
  </si>
  <si>
    <t>Export Contract ($)</t>
  </si>
  <si>
    <t>USD/INR Rate</t>
  </si>
  <si>
    <t>Domestic Procurement (₹)</t>
  </si>
  <si>
    <t>Shipping &amp; Customs (₹)</t>
  </si>
  <si>
    <t>Baseline USD/INR Rate</t>
  </si>
  <si>
    <t>Gross Export Revenue (₹)</t>
  </si>
  <si>
    <t>Total Landed Cost (₹)</t>
  </si>
  <si>
    <t>Net Operating Margin (₹)</t>
  </si>
  <si>
    <t>Net Margin %</t>
  </si>
  <si>
    <t>Exercise 7: Row-Oriented Product Price Sensitivity Table</t>
  </si>
  <si>
    <t>Topic 2: Setting Row Input Cell = B5 with Horizontal Header Inputs | Formula: {=TABLE(B5, )}</t>
  </si>
  <si>
    <t>1. PRICING &amp; PROFIT MODEL</t>
  </si>
  <si>
    <t>2. ROW-ORIENTED SENSITIVITY TABLE (HORIZONTAL INPUTS ACROSS ROW 6)</t>
  </si>
  <si>
    <t>Unit Selling Price (₹)</t>
  </si>
  <si>
    <t>Price Scenarios ➔</t>
  </si>
  <si>
    <t>Sales Volume (Units)</t>
  </si>
  <si>
    <t>Unit COGS (₹)</t>
  </si>
  <si>
    <t>Fixed Overhead (₹)</t>
  </si>
  <si>
    <t>Gross Sales Revenue (₹)</t>
  </si>
  <si>
    <t>Total COGS (₹)</t>
  </si>
  <si>
    <t>Net Operating Profit (₹)</t>
  </si>
  <si>
    <t>Exercise 8: Calculation Engine Optimization &amp; Benchmarking</t>
  </si>
  <si>
    <t>Topic 2 &amp; 4: Setting Calculation Mode to "Automatic Except for Data Tables" (Alt + M + X + E)</t>
  </si>
  <si>
    <t>⚙️ EXCEL CALCULATION ENGINE MODES COMPARISON MATRIX</t>
  </si>
  <si>
    <t>Mode</t>
  </si>
  <si>
    <t>Ribbon &amp; Shortcut</t>
  </si>
  <si>
    <t>Behavior During Routine Edits</t>
  </si>
  <si>
    <t>Optimal Production Use Case</t>
  </si>
  <si>
    <t>Automatic (Default)</t>
  </si>
  <si>
    <t>Formulas &gt; Calc Options &gt; Automatic (Alt + M + X + A)</t>
  </si>
  <si>
    <t>Recalculates ALL formulas &amp; all data tables instantly on every cell edit</t>
  </si>
  <si>
    <t>Small-to-medium workbooks (&lt; 5,000 formulas) without heavy iterative tables</t>
  </si>
  <si>
    <t>Automatic Except Data Tables</t>
  </si>
  <si>
    <t>Formulas &gt; Calc Options &gt; Automatic Except Tables (Alt + M + X + E)</t>
  </si>
  <si>
    <t>Recalculates formulas instantly, but SKIPS table arrays until F9 is pressed</t>
  </si>
  <si>
    <t>Large financial models with multiple 1-Var or 2-Var Data Tables (Prevents UI lag)</t>
  </si>
  <si>
    <t>Manual</t>
  </si>
  <si>
    <t>Formulas &gt; Calc Options &gt; Manual (Alt + M + X + M)</t>
  </si>
  <si>
    <t>Completely stops all background calculation until F9 is manually pressed</t>
  </si>
  <si>
    <t>Massive enterprise database workbooks (&gt; 500k rows) during batch data entry</t>
  </si>
  <si>
    <t xml:space="preserve">🚀 PROFESSIONAL MODELING TIP BY SUKANTA SIR:
When building institutional M&amp;A, DCF, and debt amortization models, large One-Variable and Two-Variable Data Tables force Excel to run dozens of hidden calculation passes for each table cell. If your workbook freezes for 2–5 seconds every time you type a number, immediately press 'Alt + M + X + E' to switch to 'Automatic Except for Data Tables'. Then simply tap 'F9' whenever you need to refresh your sensitivity tables!</t>
  </si>
  <si>
    <t>Exercise 9: Two-Variable Price vs Volume Profit Matrix</t>
  </si>
  <si>
    <t>Topic 3: Cross-Matrix 2D Sensitivity Model | Formula: {=TABLE(B7, B6)}</t>
  </si>
  <si>
    <t>1. CORE BUSINESS PARAMETERS</t>
  </si>
  <si>
    <t>2. TWO-VARIABLE DATA TABLE (NET PROFIT MATRIX)</t>
  </si>
  <si>
    <t>Production Volume (Units)</t>
  </si>
  <si>
    <t>Unit Variable Cost (₹)</t>
  </si>
  <si>
    <t>Net Profit (₹)</t>
  </si>
  <si>
    <t>Exercise 10: Scenario Manager Macro-Economic Planning</t>
  </si>
  <si>
    <t>Topic 5 &amp; 6: Comparing Best Case, Base Case &amp; Worst Case Assumptions (Alt + A + W + S)</t>
  </si>
  <si>
    <t>📊 SCENARIO SUMMARY COMPARISON MATRIX</t>
  </si>
  <si>
    <t>Model Variable / KPI</t>
  </si>
  <si>
    <t>Worst Case (Recession)</t>
  </si>
  <si>
    <t>Base Case (Budget)</t>
  </si>
  <si>
    <t>Best Case (Expansion)</t>
  </si>
  <si>
    <t>Changing Cell: Sales Price (₹)</t>
  </si>
  <si>
    <t>Changing Cell: Sales Volume (Units)</t>
  </si>
  <si>
    <t>Changing Cell: Variable Cost %</t>
  </si>
  <si>
    <t>Changing Cell: Fixed Overhead (₹)</t>
  </si>
  <si>
    <t>Result KPI: Total Revenue (₹)</t>
  </si>
  <si>
    <t>Result KPI: Total Costs (₹)</t>
  </si>
  <si>
    <t>Result KPI: Net Profit (₹)</t>
  </si>
  <si>
    <t>Exercise 11: Goal Seek Reverse Engineering Lab</t>
  </si>
  <si>
    <t>Topic 1: Finding Exact Sales Volume to Hit Zero Break-Even EBIT (Alt + A + W + G)</t>
  </si>
  <si>
    <t>🎯 GOAL SEEK BREAK-EVEN MODEL</t>
  </si>
  <si>
    <t xml:space="preserve">🎯 HOW TO RUN GOAL SEEK (Alt + A + W + G):
1. Click cell B10 (Current Net Operating EBIT).
2. Open: Data &gt; What-If Analysis &gt; Goal Seek.
3. Configure Dialog:
   • Set cell: B10
   • To value: 0
   • By changing cell: B9 (Sales Volume)
4. Click OK. Excel iterates through calculus passes and finds the exact volume: 11,538 Units!</t>
  </si>
  <si>
    <t>Current Sales Volume (Changing Cell)</t>
  </si>
  <si>
    <t>Current Net Operating EBIT (Set Cell)</t>
  </si>
  <si>
    <t>Target Break-Even EBIT (Goal)</t>
  </si>
  <si>
    <t>Required Break-Even Units (Formula Check)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</si>
</sst>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6">
    <numFmt numFmtId="164" formatCode="₹ #,##,##0"/>
    <numFmt numFmtId="165" formatCode=";;;&quot;Monthly EMI (₹)&quot;"/>
    <numFmt numFmtId="166" formatCode="₹ #,##,##0.00"/>
    <numFmt numFmtId="167" formatCode="0 &quot;Months&quot;"/>
    <numFmt numFmtId="168" formatCode=";;;&quot;Monthly EMI&quot;"/>
    <numFmt numFmtId="169" formatCode=";;;&quot;Total Repayment&quot;"/>
    <numFmt numFmtId="170" formatCode=";;;&quot;Total Interest&quot;"/>
    <numFmt numFmtId="171" formatCode=";;;&quot;Gross Revenue&quot;"/>
    <numFmt numFmtId="172" formatCode=";;;&quot;Operating EBIT&quot;"/>
    <numFmt numFmtId="173" formatCode="₹ #,##,##0;[Red](₹ #,##,##0);&quot;-&quot;"/>
    <numFmt numFmtId="174" formatCode="₹ #,##,##0;[Red](₹ #,##,##0)"/>
    <numFmt numFmtId="175" formatCode=";;;&quot;Project NPV (₹)&quot;"/>
    <numFmt numFmtId="176" formatCode="0.0%"/>
    <numFmt numFmtId="177" formatCode=";;;&quot;Gross Rent&quot;"/>
    <numFmt numFmtId="178" formatCode=";;;&quot;Net Operating Income&quot;"/>
    <numFmt numFmtId="179" formatCode=";;;&quot;DSCR Ratio&quot;"/>
    <numFmt numFmtId="180" formatCode="0.00 &quot;x&quot;"/>
    <numFmt numFmtId="181" formatCode="$ #,##0"/>
    <numFmt numFmtId="182" formatCode=";;;&quot;Export Revenue (₹)&quot;"/>
    <numFmt numFmtId="183" formatCode=";;;&quot;Net Margin (₹)&quot;"/>
    <numFmt numFmtId="184" formatCode=";;;&quot;Margin %&quot;"/>
    <numFmt numFmtId="185" formatCode="₹ 0.00"/>
    <numFmt numFmtId="186" formatCode="₹ #,##0"/>
    <numFmt numFmtId="187" formatCode=";;;&quot;Net Operating Profit&quot;"/>
    <numFmt numFmtId="188" formatCode=";;;&quot;Price \ Vol&quot;"/>
    <numFmt numFmtId="189" formatCode="#,##0 &quot;Units&quot;"/>
  </numFmts>
  <fonts count="16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38BDF8"/>
      <sz val="9"/>
      <name val="Segoe UI"/>
    </font>
    <font>
      <i/>
      <color rgb="FFFBBF24"/>
      <sz val="9"/>
      <name val="Segoe UI"/>
    </font>
    <font>
      <b/>
      <color rgb="FFFFFFFF"/>
      <sz val="11"/>
      <name val="Segoe UI"/>
    </font>
    <font>
      <b/>
      <sz val="10"/>
      <name val="Segoe UI"/>
    </font>
    <font>
      <sz val="10"/>
      <name val="Segoe UI"/>
    </font>
    <font>
      <b/>
      <u/>
      <color rgb="FF0284C7"/>
      <sz val="9"/>
      <name val="Segoe UI"/>
    </font>
    <font>
      <i/>
      <color rgb="FF0369A1"/>
      <sz val="9"/>
      <name val="Consolas"/>
    </font>
    <font>
      <b/>
      <color rgb="FF059669"/>
      <sz val="9"/>
      <name val="Segoe UI"/>
    </font>
    <font>
      <b/>
      <color rgb="FFFFFFFF"/>
      <sz val="14"/>
      <name val="Segoe UI"/>
    </font>
    <font>
      <i/>
      <color rgb="FF94A3B8"/>
      <sz val="9"/>
      <name val="Segoe UI"/>
    </font>
    <font>
      <b/>
      <color rgb="FF059669"/>
      <sz val="10"/>
      <name val="Segoe UI"/>
    </font>
    <font>
      <color rgb="FF1E293B"/>
      <sz val="9"/>
      <name val="Segoe UI"/>
    </font>
    <font>
      <b/>
      <color rgb="FFD97706"/>
      <sz val="10"/>
      <name val="Segoe UI"/>
    </font>
    <font>
      <b/>
      <color rgb="FF0F172A"/>
      <sz val="10"/>
      <name val="Segoe UI"/>
    </font>
  </fonts>
  <fills count="1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059669"/>
      </patternFill>
    </fill>
    <fill>
      <patternFill patternType="solid">
        <fgColor rgb="FFFFFFFF"/>
      </patternFill>
    </fill>
    <fill>
      <patternFill patternType="solid">
        <fgColor rgb="FFD97706"/>
      </patternFill>
    </fill>
    <fill>
      <patternFill patternType="solid">
        <fgColor rgb="FFFEF3C7"/>
      </patternFill>
    </fill>
    <fill>
      <patternFill patternType="solid">
        <fgColor rgb="FFE0F2FE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4338CA"/>
      </patternFill>
    </fill>
    <fill>
      <patternFill patternType="solid">
        <fgColor rgb="FF7C3AED"/>
      </patternFill>
    </fill>
  </fills>
  <borders count="5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  <border>
      <left style="medium">
        <color rgb="FF059669"/>
      </left>
      <right style="medium">
        <color rgb="FF059669"/>
      </right>
      <top style="medium">
        <color rgb="FF059669"/>
      </top>
      <bottom style="medium">
        <color rgb="FF059669"/>
      </bottom>
      <diagonal/>
    </border>
    <border>
      <left style="medium">
        <color rgb="FF0284C7"/>
      </left>
      <right style="medium">
        <color rgb="FF0284C7"/>
      </right>
      <top style="medium">
        <color rgb="FF0284C7"/>
      </top>
      <bottom style="medium">
        <color rgb="FF0284C7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4" borderId="0" xfId="0" applyFont="1" applyFill="1"/>
    <xf numFmtId="0" fontId="5" fillId="5" borderId="1" xfId="0" applyFont="1" applyFill="1" applyBorder="1"/>
    <xf numFmtId="0" fontId="6" fillId="6" borderId="1" xfId="0" applyFont="1" applyFill="1" applyBorder="1"/>
    <xf numFmtId="0" fontId="4" fillId="7" borderId="0" xfId="0" applyFont="1" applyFill="1" applyAlignment="1">
      <alignment vertical="center" indent="1"/>
    </xf>
    <xf numFmtId="0" fontId="5" fillId="5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4" fillId="9" borderId="0" xfId="0" applyFont="1" applyFill="1" applyAlignment="1">
      <alignment vertical="center" indent="1"/>
    </xf>
    <xf numFmtId="0" fontId="7" fillId="6" borderId="1" xfId="0" applyFont="1" applyFill="1" applyBorder="1"/>
    <xf numFmtId="0" fontId="5" fillId="6" borderId="1" xfId="0" applyFont="1" applyFill="1" applyBorder="1"/>
    <xf numFmtId="0" fontId="8" fillId="6" borderId="1" xfId="0" applyFont="1" applyFill="1" applyBorder="1"/>
    <xf numFmtId="0" fontId="9" fillId="6" borderId="1" xfId="0" applyFont="1" applyFill="1" applyBorder="1"/>
    <xf numFmtId="0" fontId="7" fillId="8" borderId="1" xfId="0" applyFont="1" applyFill="1" applyBorder="1"/>
    <xf numFmtId="0" fontId="6" fillId="8" borderId="1" xfId="0" applyFont="1" applyFill="1" applyBorder="1"/>
    <xf numFmtId="0" fontId="5" fillId="8" borderId="1" xfId="0" applyFont="1" applyFill="1" applyBorder="1"/>
    <xf numFmtId="0" fontId="8" fillId="8" borderId="1" xfId="0" applyFont="1" applyFill="1" applyBorder="1"/>
    <xf numFmtId="0" fontId="9" fillId="8" borderId="1" xfId="0" applyFont="1" applyFill="1" applyBorder="1"/>
    <xf numFmtId="0" fontId="7" fillId="0" borderId="0" xfId="0" applyFont="1" applyAlignment="1">
      <alignment horizontal="left" vertical="center"/>
    </xf>
    <xf numFmtId="0" fontId="10" fillId="4" borderId="0" xfId="0" applyFont="1" applyFill="1" applyAlignment="1">
      <alignment horizontal="left" vertical="center" indent="1"/>
    </xf>
    <xf numFmtId="0" fontId="11" fillId="2" borderId="0" xfId="0" applyFont="1" applyFill="1" applyAlignment="1">
      <alignment horizontal="left" vertical="center" indent="1"/>
    </xf>
    <xf numFmtId="0" fontId="5" fillId="4" borderId="0" xfId="0" applyFont="1" applyFill="1"/>
    <xf numFmtId="0" fontId="5" fillId="7" borderId="0" xfId="0" applyFont="1" applyFill="1"/>
    <xf numFmtId="164" fontId="6" fillId="10" borderId="1" xfId="0" applyNumberFormat="1" applyFont="1" applyFill="1" applyBorder="1" applyAlignment="1">
      <alignment horizontal="right"/>
    </xf>
    <xf numFmtId="0" fontId="5" fillId="5" borderId="2" xfId="0" applyFont="1" applyFill="1" applyBorder="1"/>
    <xf numFmtId="165" fontId="5" fillId="11" borderId="2" xfId="0" applyNumberFormat="1" applyFont="1" applyFill="1" applyBorder="1" applyAlignment="1">
      <alignment horizontal="right"/>
    </xf>
    <xf numFmtId="10" fontId="6" fillId="10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1" fontId="6" fillId="10" borderId="1" xfId="0" applyNumberFormat="1" applyFont="1" applyFill="1" applyBorder="1" applyAlignment="1">
      <alignment horizontal="right"/>
    </xf>
    <xf numFmtId="166" fontId="6" fillId="8" borderId="1" xfId="0" applyNumberFormat="1" applyFont="1" applyFill="1" applyBorder="1" applyAlignment="1">
      <alignment horizontal="right"/>
    </xf>
    <xf numFmtId="167" fontId="5" fillId="11" borderId="1" xfId="0" applyNumberFormat="1" applyFont="1" applyFill="1" applyBorder="1" applyAlignment="1">
      <alignment horizontal="right"/>
    </xf>
    <xf numFmtId="166" fontId="5" fillId="11" borderId="1" xfId="0" applyNumberFormat="1" applyFont="1" applyFill="1" applyBorder="1" applyAlignment="1">
      <alignment horizontal="right"/>
    </xf>
    <xf numFmtId="166" fontId="12" fillId="12" borderId="1" xfId="0" applyNumberFormat="1" applyFont="1" applyFill="1" applyBorder="1" applyAlignment="1">
      <alignment horizontal="right"/>
    </xf>
    <xf numFmtId="0" fontId="13" fillId="13" borderId="3" xfId="0" applyFont="1" applyFill="1" applyBorder="1" applyAlignment="1">
      <alignment vertical="top" wrapText="1"/>
    </xf>
    <xf numFmtId="0" fontId="10" fillId="14" borderId="0" xfId="0" applyFont="1" applyFill="1" applyAlignment="1">
      <alignment horizontal="left" vertical="center" indent="1"/>
    </xf>
    <xf numFmtId="0" fontId="5" fillId="14" borderId="0" xfId="0" applyFont="1" applyFill="1"/>
    <xf numFmtId="0" fontId="5" fillId="15" borderId="0" xfId="0" applyFont="1" applyFill="1"/>
    <xf numFmtId="168" fontId="5" fillId="11" borderId="2" xfId="0" applyNumberFormat="1" applyFont="1" applyFill="1" applyBorder="1"/>
    <xf numFmtId="169" fontId="5" fillId="11" borderId="2" xfId="0" applyNumberFormat="1" applyFont="1" applyFill="1" applyBorder="1"/>
    <xf numFmtId="170" fontId="5" fillId="11" borderId="2" xfId="0" applyNumberFormat="1" applyFont="1" applyFill="1" applyBorder="1"/>
    <xf numFmtId="10" fontId="0" fillId="10" borderId="1" xfId="0" applyNumberFormat="1" applyFill="1" applyBorder="1"/>
    <xf numFmtId="164" fontId="0" fillId="6" borderId="1" xfId="0" applyNumberFormat="1" applyFill="1" applyBorder="1"/>
    <xf numFmtId="164" fontId="0" fillId="8" borderId="1" xfId="0" applyNumberFormat="1" applyFill="1" applyBorder="1"/>
    <xf numFmtId="1" fontId="5" fillId="11" borderId="1" xfId="0" applyNumberFormat="1" applyFont="1" applyFill="1" applyBorder="1" applyAlignment="1">
      <alignment horizontal="right"/>
    </xf>
    <xf numFmtId="0" fontId="10" fillId="7" borderId="0" xfId="0" applyFont="1" applyFill="1" applyAlignment="1">
      <alignment horizontal="left" vertical="center" indent="1"/>
    </xf>
    <xf numFmtId="0" fontId="5" fillId="2" borderId="0" xfId="0" applyFont="1" applyFill="1"/>
    <xf numFmtId="0" fontId="6" fillId="0" borderId="1" xfId="0" applyFont="1" applyBorder="1"/>
    <xf numFmtId="164" fontId="6" fillId="10" borderId="1" xfId="0" applyNumberFormat="1" applyFont="1" applyFill="1" applyBorder="1"/>
    <xf numFmtId="0" fontId="5" fillId="0" borderId="2" xfId="0" applyFont="1" applyBorder="1"/>
    <xf numFmtId="171" fontId="5" fillId="11" borderId="2" xfId="0" applyNumberFormat="1" applyFont="1" applyFill="1" applyBorder="1"/>
    <xf numFmtId="172" fontId="5" fillId="11" borderId="2" xfId="0" applyNumberFormat="1" applyFont="1" applyFill="1" applyBorder="1"/>
    <xf numFmtId="3" fontId="0" fillId="10" borderId="1" xfId="0" applyNumberFormat="1" applyFill="1" applyBorder="1"/>
    <xf numFmtId="164" fontId="0" fillId="0" borderId="1" xfId="0" applyNumberFormat="1" applyBorder="1"/>
    <xf numFmtId="173" fontId="6" fillId="0" borderId="1" xfId="0" applyNumberFormat="1" applyFont="1" applyBorder="1"/>
    <xf numFmtId="164" fontId="5" fillId="11" borderId="1" xfId="0" applyNumberFormat="1" applyFont="1" applyFill="1" applyBorder="1"/>
    <xf numFmtId="3" fontId="6" fillId="10" borderId="1" xfId="0" applyNumberFormat="1" applyFont="1" applyFill="1" applyBorder="1"/>
    <xf numFmtId="173" fontId="5" fillId="0" borderId="1" xfId="0" applyNumberFormat="1" applyFont="1" applyBorder="1"/>
    <xf numFmtId="0" fontId="10" fillId="9" borderId="0" xfId="0" applyFont="1" applyFill="1" applyAlignment="1">
      <alignment horizontal="left" vertical="center" indent="1"/>
    </xf>
    <xf numFmtId="0" fontId="5" fillId="9" borderId="0" xfId="0" applyFont="1" applyFill="1"/>
    <xf numFmtId="174" fontId="6" fillId="10" borderId="1" xfId="0" applyNumberFormat="1" applyFont="1" applyFill="1" applyBorder="1"/>
    <xf numFmtId="175" fontId="5" fillId="11" borderId="2" xfId="0" applyNumberFormat="1" applyFont="1" applyFill="1" applyBorder="1"/>
    <xf numFmtId="176" fontId="0" fillId="10" borderId="1" xfId="0" applyNumberFormat="1" applyFill="1" applyBorder="1"/>
    <xf numFmtId="10" fontId="6" fillId="10" borderId="1" xfId="0" applyNumberFormat="1" applyFont="1" applyFill="1" applyBorder="1"/>
    <xf numFmtId="166" fontId="5" fillId="11" borderId="1" xfId="0" applyNumberFormat="1" applyFont="1" applyFill="1" applyBorder="1"/>
    <xf numFmtId="10" fontId="5" fillId="11" borderId="1" xfId="0" applyNumberFormat="1" applyFont="1" applyFill="1" applyBorder="1"/>
    <xf numFmtId="173" fontId="14" fillId="0" borderId="1" xfId="0" applyNumberFormat="1" applyFont="1" applyBorder="1"/>
    <xf numFmtId="177" fontId="5" fillId="0" borderId="2" xfId="0" applyNumberFormat="1" applyFont="1" applyBorder="1"/>
    <xf numFmtId="178" fontId="5" fillId="0" borderId="2" xfId="0" applyNumberFormat="1" applyFont="1" applyBorder="1"/>
    <xf numFmtId="179" fontId="5" fillId="0" borderId="2" xfId="0" applyNumberFormat="1" applyFont="1" applyBorder="1"/>
    <xf numFmtId="180" fontId="6" fillId="0" borderId="1" xfId="0" applyNumberFormat="1" applyFont="1" applyBorder="1"/>
    <xf numFmtId="176" fontId="6" fillId="10" borderId="1" xfId="0" applyNumberFormat="1" applyFont="1" applyFill="1" applyBorder="1"/>
    <xf numFmtId="180" fontId="5" fillId="0" borderId="1" xfId="0" applyNumberFormat="1" applyFont="1" applyBorder="1"/>
    <xf numFmtId="180" fontId="5" fillId="11" borderId="1" xfId="0" applyNumberFormat="1" applyFont="1" applyFill="1" applyBorder="1"/>
    <xf numFmtId="0" fontId="10" fillId="15" borderId="0" xfId="0" applyFont="1" applyFill="1" applyAlignment="1">
      <alignment horizontal="left" vertical="center" indent="1"/>
    </xf>
    <xf numFmtId="181" fontId="6" fillId="10" borderId="1" xfId="0" applyNumberFormat="1" applyFont="1" applyFill="1" applyBorder="1"/>
    <xf numFmtId="182" fontId="5" fillId="0" borderId="2" xfId="0" applyNumberFormat="1" applyFont="1" applyBorder="1"/>
    <xf numFmtId="183" fontId="5" fillId="0" borderId="2" xfId="0" applyNumberFormat="1" applyFont="1" applyBorder="1"/>
    <xf numFmtId="184" fontId="5" fillId="0" borderId="2" xfId="0" applyNumberFormat="1" applyFont="1" applyBorder="1"/>
    <xf numFmtId="185" fontId="0" fillId="10" borderId="1" xfId="0" applyNumberFormat="1" applyFill="1" applyBorder="1"/>
    <xf numFmtId="173" fontId="0" fillId="0" borderId="1" xfId="0" applyNumberFormat="1" applyBorder="1"/>
    <xf numFmtId="176" fontId="0" fillId="0" borderId="1" xfId="0" applyNumberFormat="1" applyBorder="1"/>
    <xf numFmtId="185" fontId="6" fillId="10" borderId="1" xfId="0" applyNumberFormat="1" applyFont="1" applyFill="1" applyBorder="1"/>
    <xf numFmtId="176" fontId="5" fillId="11" borderId="1" xfId="0" applyNumberFormat="1" applyFont="1" applyFill="1" applyBorder="1"/>
    <xf numFmtId="186" fontId="6" fillId="10" borderId="1" xfId="0" applyNumberFormat="1" applyFont="1" applyFill="1" applyBorder="1"/>
    <xf numFmtId="186" fontId="5" fillId="10" borderId="2" xfId="0" applyNumberFormat="1" applyFont="1" applyFill="1" applyBorder="1" applyAlignment="1">
      <alignment horizontal="right"/>
    </xf>
    <xf numFmtId="187" fontId="5" fillId="11" borderId="1" xfId="0" applyNumberFormat="1" applyFont="1" applyFill="1" applyBorder="1"/>
    <xf numFmtId="173" fontId="6" fillId="6" borderId="1" xfId="0" applyNumberFormat="1" applyFont="1" applyFill="1" applyBorder="1" applyAlignment="1">
      <alignment horizontal="right"/>
    </xf>
    <xf numFmtId="173" fontId="5" fillId="12" borderId="1" xfId="0" applyNumberFormat="1" applyFont="1" applyFill="1" applyBorder="1" applyAlignment="1">
      <alignment horizontal="right"/>
    </xf>
    <xf numFmtId="0" fontId="10" fillId="2" borderId="0" xfId="0" applyFont="1" applyFill="1" applyAlignment="1">
      <alignment horizontal="left" vertical="center" indent="1"/>
    </xf>
    <xf numFmtId="0" fontId="5" fillId="5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vertical="center" wrapText="1"/>
    </xf>
    <xf numFmtId="0" fontId="15" fillId="11" borderId="4" xfId="0" applyFont="1" applyFill="1" applyBorder="1" applyAlignment="1">
      <alignment vertical="center" wrapText="1" indent="1"/>
    </xf>
    <xf numFmtId="188" fontId="5" fillId="11" borderId="2" xfId="0" applyNumberFormat="1" applyFont="1" applyFill="1" applyBorder="1"/>
    <xf numFmtId="189" fontId="5" fillId="5" borderId="2" xfId="0" applyNumberFormat="1" applyFont="1" applyFill="1" applyBorder="1" applyAlignment="1">
      <alignment horizontal="right"/>
    </xf>
    <xf numFmtId="173" fontId="6" fillId="8" borderId="1" xfId="0" applyNumberFormat="1" applyFont="1" applyFill="1" applyBorder="1" applyAlignment="1">
      <alignment horizontal="right"/>
    </xf>
    <xf numFmtId="0" fontId="4" fillId="15" borderId="0" xfId="0" applyFont="1" applyFill="1"/>
    <xf numFmtId="0" fontId="5" fillId="5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right"/>
    </xf>
    <xf numFmtId="186" fontId="6" fillId="10" borderId="1" xfId="0" applyNumberFormat="1" applyFont="1" applyFill="1" applyBorder="1" applyAlignment="1">
      <alignment horizontal="right"/>
    </xf>
    <xf numFmtId="3" fontId="6" fillId="10" borderId="1" xfId="0" applyNumberFormat="1" applyFont="1" applyFill="1" applyBorder="1" applyAlignment="1">
      <alignment horizontal="right"/>
    </xf>
    <xf numFmtId="176" fontId="6" fillId="10" borderId="1" xfId="0" applyNumberFormat="1" applyFont="1" applyFill="1" applyBorder="1" applyAlignment="1">
      <alignment horizontal="right"/>
    </xf>
    <xf numFmtId="0" fontId="5" fillId="0" borderId="1" xfId="0" applyFont="1" applyBorder="1"/>
    <xf numFmtId="164" fontId="5" fillId="11" borderId="1" xfId="0" applyNumberFormat="1" applyFont="1" applyFill="1" applyBorder="1" applyAlignment="1">
      <alignment horizontal="right"/>
    </xf>
    <xf numFmtId="174" fontId="5" fillId="11" borderId="1" xfId="0" applyNumberFormat="1" applyFont="1" applyFill="1" applyBorder="1" applyAlignment="1">
      <alignment horizontal="right"/>
    </xf>
    <xf numFmtId="186" fontId="5" fillId="6" borderId="1" xfId="0" applyNumberFormat="1" applyFont="1" applyFill="1" applyBorder="1" applyAlignment="1">
      <alignment horizontal="right"/>
    </xf>
    <xf numFmtId="0" fontId="13" fillId="10" borderId="2" xfId="0" applyFont="1" applyFill="1" applyBorder="1" applyAlignment="1">
      <alignment vertical="center" wrapText="1" indent="1"/>
    </xf>
    <xf numFmtId="164" fontId="5" fillId="6" borderId="1" xfId="0" applyNumberFormat="1" applyFont="1" applyFill="1" applyBorder="1" applyAlignment="1">
      <alignment horizontal="right"/>
    </xf>
    <xf numFmtId="3" fontId="5" fillId="10" borderId="1" xfId="0" applyNumberFormat="1" applyFont="1" applyFill="1" applyBorder="1" applyAlignment="1">
      <alignment horizontal="right"/>
    </xf>
    <xf numFmtId="189" fontId="5" fillId="11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</xdr:colOff>
      <xdr:row>0</xdr:row>
      <xdr:rowOff>27000</xdr:rowOff>
    </xdr:from>
    <xdr:ext cx="1000125" cy="1000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36000</xdr:colOff>
      <xdr:row>5</xdr:row>
      <xdr:rowOff>36000</xdr:rowOff>
    </xdr:from>
    <xdr:ext cx="1333500" cy="1524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1_Loan_Interest_EMI&apos;!A1" TargetMode="External"/><Relationship Id="rId2" Type="http://schemas.openxmlformats.org/officeDocument/2006/relationships/hyperlink" Target="#&apos;Ex2_Multi_Output_EMI&apos;!A1" TargetMode="External"/><Relationship Id="rId3" Type="http://schemas.openxmlformats.org/officeDocument/2006/relationships/hyperlink" Target="#&apos;Ex3_BreakEven_Production&apos;!A1" TargetMode="External"/><Relationship Id="rId4" Type="http://schemas.openxmlformats.org/officeDocument/2006/relationships/hyperlink" Target="#&apos;Ex4_Capex_WACC_NPV&apos;!A1" TargetMode="External"/><Relationship Id="rId5" Type="http://schemas.openxmlformats.org/officeDocument/2006/relationships/hyperlink" Target="#&apos;Ex5_RealEstate_Occupancy&apos;!A1" TargetMode="External"/><Relationship Id="rId6" Type="http://schemas.openxmlformats.org/officeDocument/2006/relationships/hyperlink" Target="#&apos;Ex6_Multi_Output_FX&apos;!A1" TargetMode="External"/><Relationship Id="rId7" Type="http://schemas.openxmlformats.org/officeDocument/2006/relationships/hyperlink" Target="#&apos;Ex7_Row_Oriented_Table&apos;!A1" TargetMode="External"/><Relationship Id="rId8" Type="http://schemas.openxmlformats.org/officeDocument/2006/relationships/hyperlink" Target="#&apos;Ex8_Performance_Tuning&apos;!A1" TargetMode="External"/><Relationship Id="rId9" Type="http://schemas.openxmlformats.org/officeDocument/2006/relationships/hyperlink" Target="#&apos;Ex9_Two_Var_Price_Volume&apos;!A1" TargetMode="External"/><Relationship Id="rId10" Type="http://schemas.openxmlformats.org/officeDocument/2006/relationships/hyperlink" Target="#&apos;Ex10_Scenario_Manager&apos;!A1" TargetMode="External"/><Relationship Id="rId11" Type="http://schemas.openxmlformats.org/officeDocument/2006/relationships/hyperlink" Target="#&apos;Ex11_Goal_Seek_BreakEven&apos;!A1" TargetMode="External"/><Relationship Id="rId12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/>
  </sheetViews>
  <sheetFormatPr defaultRowHeight="15" outlineLevelRow="0" outlineLevelCol="0" x14ac:dyDescent="55"/>
  <cols>
    <col min="1" max="1" width="24" customWidth="1"/>
    <col min="2" max="2" width="34" customWidth="1"/>
    <col min="3" max="3" width="24" customWidth="1"/>
    <col min="4" max="4" width="38" customWidth="1"/>
    <col min="5" max="5" width="22" customWidth="1"/>
    <col min="6" max="6" width="32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spans="2:6" x14ac:dyDescent="0.25">
      <c r="B6" s="4" t="s">
        <v>3</v>
      </c>
      <c r="C6" s="4"/>
      <c r="D6" s="4"/>
      <c r="E6" s="4"/>
      <c r="F6" s="4"/>
    </row>
    <row r="7" ht="22" customHeight="1" spans="2:5" x14ac:dyDescent="0.25">
      <c r="B7" s="5" t="s">
        <v>4</v>
      </c>
      <c r="C7" s="6" t="s">
        <v>5</v>
      </c>
      <c r="D7" s="5" t="s">
        <v>6</v>
      </c>
      <c r="E7" s="6" t="s">
        <v>7</v>
      </c>
    </row>
    <row r="8" ht="22" customHeight="1" spans="2:5" x14ac:dyDescent="0.25">
      <c r="B8" s="5" t="s">
        <v>8</v>
      </c>
      <c r="C8" s="6" t="s">
        <v>9</v>
      </c>
      <c r="D8" s="5" t="s">
        <v>10</v>
      </c>
      <c r="E8" s="6" t="s">
        <v>11</v>
      </c>
    </row>
    <row r="9" ht="22" customHeight="1" spans="2:5" x14ac:dyDescent="0.25">
      <c r="B9" s="5" t="s">
        <v>12</v>
      </c>
      <c r="C9" s="6" t="s">
        <v>13</v>
      </c>
      <c r="D9" s="5" t="s">
        <v>14</v>
      </c>
      <c r="E9" s="6" t="s">
        <v>15</v>
      </c>
    </row>
    <row r="10" ht="22" customHeight="1" spans="2:5" x14ac:dyDescent="0.25">
      <c r="B10" s="5" t="s">
        <v>16</v>
      </c>
      <c r="C10" s="6" t="s">
        <v>17</v>
      </c>
      <c r="D10" s="5" t="s">
        <v>18</v>
      </c>
      <c r="E10" s="6" t="s">
        <v>19</v>
      </c>
    </row>
    <row r="11" ht="22" customHeight="1" spans="2:5" x14ac:dyDescent="0.25">
      <c r="B11" s="5" t="s">
        <v>20</v>
      </c>
      <c r="C11" s="6" t="s">
        <v>21</v>
      </c>
      <c r="D11" s="5" t="s">
        <v>22</v>
      </c>
      <c r="E11" s="6" t="s">
        <v>23</v>
      </c>
    </row>
    <row r="14" spans="1:6" x14ac:dyDescent="0.25">
      <c r="A14" s="7" t="s">
        <v>24</v>
      </c>
      <c r="B14" s="7"/>
      <c r="C14" s="7"/>
      <c r="D14" s="7"/>
      <c r="E14" s="7"/>
      <c r="F14" s="7"/>
    </row>
    <row r="15" ht="20" customHeight="1" spans="1:4" x14ac:dyDescent="0.25">
      <c r="A15" s="8" t="s">
        <v>25</v>
      </c>
      <c r="B15" s="8" t="s">
        <v>26</v>
      </c>
      <c r="C15" s="8" t="s">
        <v>27</v>
      </c>
      <c r="D15" s="8" t="s">
        <v>28</v>
      </c>
    </row>
    <row r="16" ht="20" customHeight="1" spans="1:4" x14ac:dyDescent="0.25">
      <c r="A16" s="9" t="s">
        <v>29</v>
      </c>
      <c r="B16" s="9" t="s">
        <v>30</v>
      </c>
      <c r="C16" s="9" t="s">
        <v>31</v>
      </c>
      <c r="D16" s="9" t="s">
        <v>32</v>
      </c>
    </row>
    <row r="17" ht="20" customHeight="1" spans="1:4" x14ac:dyDescent="0.25">
      <c r="A17" s="10" t="s">
        <v>33</v>
      </c>
      <c r="B17" s="10" t="s">
        <v>34</v>
      </c>
      <c r="C17" s="10" t="s">
        <v>35</v>
      </c>
      <c r="D17" s="10" t="s">
        <v>36</v>
      </c>
    </row>
    <row r="18" ht="20" customHeight="1" spans="1:4" x14ac:dyDescent="0.25">
      <c r="A18" s="9" t="s">
        <v>37</v>
      </c>
      <c r="B18" s="9" t="s">
        <v>38</v>
      </c>
      <c r="C18" s="9" t="s">
        <v>39</v>
      </c>
      <c r="D18" s="9" t="s">
        <v>40</v>
      </c>
    </row>
    <row r="19" ht="20" customHeight="1" spans="1:4" x14ac:dyDescent="0.25">
      <c r="A19" s="10" t="s">
        <v>41</v>
      </c>
      <c r="B19" s="10" t="s">
        <v>42</v>
      </c>
      <c r="C19" s="10" t="s">
        <v>43</v>
      </c>
      <c r="D19" s="10" t="s">
        <v>44</v>
      </c>
    </row>
    <row r="20" ht="20" customHeight="1" spans="1:4" x14ac:dyDescent="0.25">
      <c r="A20" s="9" t="s">
        <v>45</v>
      </c>
      <c r="B20" s="9" t="s">
        <v>46</v>
      </c>
      <c r="C20" s="9" t="s">
        <v>47</v>
      </c>
      <c r="D20" s="9" t="s">
        <v>48</v>
      </c>
    </row>
    <row r="22" spans="1:6" x14ac:dyDescent="0.25">
      <c r="A22" s="11" t="s">
        <v>49</v>
      </c>
      <c r="B22" s="11"/>
      <c r="C22" s="11"/>
      <c r="D22" s="11"/>
      <c r="E22" s="11"/>
      <c r="F22" s="11"/>
    </row>
    <row r="23" ht="22" customHeight="1" spans="1:6" x14ac:dyDescent="0.25">
      <c r="A23" s="5" t="s">
        <v>50</v>
      </c>
      <c r="B23" s="5" t="s">
        <v>51</v>
      </c>
      <c r="C23" s="5" t="s">
        <v>52</v>
      </c>
      <c r="D23" s="5" t="s">
        <v>53</v>
      </c>
      <c r="E23" s="5" t="s">
        <v>54</v>
      </c>
      <c r="F23" s="5" t="s">
        <v>55</v>
      </c>
    </row>
    <row r="24" ht="20" customHeight="1" spans="1:6" x14ac:dyDescent="0.25">
      <c r="A24" s="12" t="s">
        <v>56</v>
      </c>
      <c r="B24" s="6" t="s">
        <v>57</v>
      </c>
      <c r="C24" s="13" t="s">
        <v>58</v>
      </c>
      <c r="D24" s="14" t="s">
        <v>59</v>
      </c>
      <c r="E24" s="6" t="s">
        <v>60</v>
      </c>
      <c r="F24" s="15" t="s">
        <v>61</v>
      </c>
    </row>
    <row r="25" ht="20" customHeight="1" spans="1:6" x14ac:dyDescent="0.25">
      <c r="A25" s="16" t="s">
        <v>62</v>
      </c>
      <c r="B25" s="17" t="s">
        <v>63</v>
      </c>
      <c r="C25" s="18" t="s">
        <v>64</v>
      </c>
      <c r="D25" s="19" t="s">
        <v>59</v>
      </c>
      <c r="E25" s="17" t="s">
        <v>65</v>
      </c>
      <c r="F25" s="20" t="s">
        <v>61</v>
      </c>
    </row>
    <row r="26" ht="20" customHeight="1" spans="1:6" x14ac:dyDescent="0.25">
      <c r="A26" s="12" t="s">
        <v>66</v>
      </c>
      <c r="B26" s="6" t="s">
        <v>67</v>
      </c>
      <c r="C26" s="13" t="s">
        <v>68</v>
      </c>
      <c r="D26" s="14" t="s">
        <v>69</v>
      </c>
      <c r="E26" s="6" t="s">
        <v>70</v>
      </c>
      <c r="F26" s="15" t="s">
        <v>61</v>
      </c>
    </row>
    <row r="27" ht="20" customHeight="1" spans="1:6" x14ac:dyDescent="0.25">
      <c r="A27" s="16" t="s">
        <v>71</v>
      </c>
      <c r="B27" s="17" t="s">
        <v>72</v>
      </c>
      <c r="C27" s="18" t="s">
        <v>73</v>
      </c>
      <c r="D27" s="19" t="s">
        <v>74</v>
      </c>
      <c r="E27" s="17" t="s">
        <v>75</v>
      </c>
      <c r="F27" s="20" t="s">
        <v>61</v>
      </c>
    </row>
    <row r="28" ht="20" customHeight="1" spans="1:6" x14ac:dyDescent="0.25">
      <c r="A28" s="12" t="s">
        <v>76</v>
      </c>
      <c r="B28" s="6" t="s">
        <v>77</v>
      </c>
      <c r="C28" s="13" t="s">
        <v>78</v>
      </c>
      <c r="D28" s="14" t="s">
        <v>79</v>
      </c>
      <c r="E28" s="6" t="s">
        <v>80</v>
      </c>
      <c r="F28" s="15" t="s">
        <v>61</v>
      </c>
    </row>
    <row r="29" ht="20" customHeight="1" spans="1:6" x14ac:dyDescent="0.25">
      <c r="A29" s="16" t="s">
        <v>81</v>
      </c>
      <c r="B29" s="17" t="s">
        <v>82</v>
      </c>
      <c r="C29" s="18" t="s">
        <v>83</v>
      </c>
      <c r="D29" s="19" t="s">
        <v>84</v>
      </c>
      <c r="E29" s="17" t="s">
        <v>85</v>
      </c>
      <c r="F29" s="20" t="s">
        <v>61</v>
      </c>
    </row>
    <row r="30" ht="20" customHeight="1" spans="1:6" x14ac:dyDescent="0.25">
      <c r="A30" s="12" t="s">
        <v>86</v>
      </c>
      <c r="B30" s="6" t="s">
        <v>87</v>
      </c>
      <c r="C30" s="13" t="s">
        <v>88</v>
      </c>
      <c r="D30" s="14" t="s">
        <v>89</v>
      </c>
      <c r="E30" s="6" t="s">
        <v>90</v>
      </c>
      <c r="F30" s="15" t="s">
        <v>61</v>
      </c>
    </row>
    <row r="31" ht="20" customHeight="1" spans="1:6" x14ac:dyDescent="0.25">
      <c r="A31" s="16" t="s">
        <v>91</v>
      </c>
      <c r="B31" s="17" t="s">
        <v>92</v>
      </c>
      <c r="C31" s="18" t="s">
        <v>93</v>
      </c>
      <c r="D31" s="19" t="s">
        <v>43</v>
      </c>
      <c r="E31" s="17" t="s">
        <v>94</v>
      </c>
      <c r="F31" s="20" t="s">
        <v>61</v>
      </c>
    </row>
    <row r="32" ht="20" customHeight="1" spans="1:6" x14ac:dyDescent="0.25">
      <c r="A32" s="12" t="s">
        <v>95</v>
      </c>
      <c r="B32" s="6" t="s">
        <v>96</v>
      </c>
      <c r="C32" s="13" t="s">
        <v>97</v>
      </c>
      <c r="D32" s="14" t="s">
        <v>98</v>
      </c>
      <c r="E32" s="6" t="s">
        <v>99</v>
      </c>
      <c r="F32" s="15" t="s">
        <v>61</v>
      </c>
    </row>
    <row r="33" ht="20" customHeight="1" spans="1:6" x14ac:dyDescent="0.25">
      <c r="A33" s="16" t="s">
        <v>100</v>
      </c>
      <c r="B33" s="17" t="s">
        <v>101</v>
      </c>
      <c r="C33" s="18" t="s">
        <v>102</v>
      </c>
      <c r="D33" s="19" t="s">
        <v>39</v>
      </c>
      <c r="E33" s="17" t="s">
        <v>103</v>
      </c>
      <c r="F33" s="20" t="s">
        <v>61</v>
      </c>
    </row>
    <row r="34" ht="20" customHeight="1" spans="1:6" x14ac:dyDescent="0.25">
      <c r="A34" s="12" t="s">
        <v>104</v>
      </c>
      <c r="B34" s="6" t="s">
        <v>105</v>
      </c>
      <c r="C34" s="13" t="s">
        <v>33</v>
      </c>
      <c r="D34" s="14" t="s">
        <v>35</v>
      </c>
      <c r="E34" s="6" t="s">
        <v>106</v>
      </c>
      <c r="F34" s="15" t="s">
        <v>61</v>
      </c>
    </row>
  </sheetData>
  <mergeCells count="6">
    <mergeCell ref="B1:F2"/>
    <mergeCell ref="B3:F3"/>
    <mergeCell ref="B4:F4"/>
    <mergeCell ref="B6:F6"/>
    <mergeCell ref="A14:F14"/>
    <mergeCell ref="A22:F22"/>
  </mergeCells>
  <hyperlinks>
    <hyperlink ref="A24" r:id="rId1" location="#'Ex1_Loan_Interest_EMI'!A1"/>
    <hyperlink ref="A25" r:id="rId2" location="#'Ex2_Multi_Output_EMI'!A1"/>
    <hyperlink ref="A26" r:id="rId3" location="#'Ex3_BreakEven_Production'!A1"/>
    <hyperlink ref="A27" r:id="rId4" location="#'Ex4_Capex_WACC_NPV'!A1"/>
    <hyperlink ref="A28" r:id="rId5" location="#'Ex5_RealEstate_Occupancy'!A1"/>
    <hyperlink ref="A29" r:id="rId6" location="#'Ex6_Multi_Output_FX'!A1"/>
    <hyperlink ref="A30" r:id="rId7" location="#'Ex7_Row_Oriented_Table'!A1"/>
    <hyperlink ref="A31" r:id="rId8" location="#'Ex8_Performance_Tuning'!A1"/>
    <hyperlink ref="A32" r:id="rId9" location="#'Ex9_Two_Var_Price_Volume'!A1"/>
    <hyperlink ref="A33" r:id="rId10" location="#'Ex10_Scenario_Manager'!A1"/>
    <hyperlink ref="A34" r:id="rId11" location="#'Ex11_Goal_Seek_BreakEven'!A1"/>
  </hyperlinks>
  <pageMargins left="0.7" right="0.7" top="0.75" bottom="0.75" header="0.3" footer="0.3"/>
  <pageSetup orientation="portrait" horizontalDpi="4294967295" verticalDpi="4294967295" scale="100" fitToWidth="1" fitToHeight="1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/>
  </sheetViews>
  <sheetFormatPr defaultRowHeight="15" outlineLevelRow="0" outlineLevelCol="0" x14ac:dyDescent="55"/>
  <cols>
    <col min="1" max="1" width="22" customWidth="1"/>
    <col min="2" max="2" width="18" customWidth="1"/>
    <col min="3" max="3" width="4" customWidth="1"/>
    <col min="4" max="4" width="16" customWidth="1"/>
    <col min="5" max="5" width="18" customWidth="1"/>
    <col min="6" max="7" width="22" customWidth="1"/>
    <col min="8" max="8" width="28" customWidth="1"/>
  </cols>
  <sheetData>
    <row r="1" ht="20" customHeight="1" spans="1:2" x14ac:dyDescent="0.25">
      <c r="A1" s="21" t="s">
        <v>107</v>
      </c>
      <c r="B1" s="21"/>
    </row>
    <row r="2" ht="28" customHeight="1" spans="1:8" x14ac:dyDescent="0.25">
      <c r="A2" s="22" t="s">
        <v>108</v>
      </c>
      <c r="B2" s="22"/>
      <c r="C2" s="22"/>
      <c r="D2" s="22"/>
      <c r="E2" s="22"/>
      <c r="F2" s="22"/>
      <c r="G2" s="22"/>
      <c r="H2" s="22"/>
    </row>
    <row r="3" ht="20" customHeight="1" spans="1:8" x14ac:dyDescent="0.25">
      <c r="A3" s="23" t="s">
        <v>109</v>
      </c>
      <c r="B3" s="23"/>
      <c r="C3" s="23"/>
      <c r="D3" s="23"/>
      <c r="E3" s="23"/>
      <c r="F3" s="23"/>
      <c r="G3" s="23"/>
      <c r="H3" s="23"/>
    </row>
    <row r="5" spans="1:6" x14ac:dyDescent="0.25">
      <c r="A5" s="24" t="s">
        <v>110</v>
      </c>
      <c r="B5" s="24"/>
      <c r="D5" s="25" t="s">
        <v>111</v>
      </c>
      <c r="E5" s="25"/>
      <c r="F5" s="25"/>
    </row>
    <row r="6" spans="1:5" x14ac:dyDescent="0.25">
      <c r="A6" s="6" t="s">
        <v>112</v>
      </c>
      <c r="B6" s="26">
        <v>5000000</v>
      </c>
      <c r="D6" s="27" t="s">
        <v>113</v>
      </c>
      <c r="E6" s="28">
        <f>B10</f>
      </c>
    </row>
    <row r="7" spans="1:5" x14ac:dyDescent="0.25">
      <c r="A7" s="6" t="s">
        <v>114</v>
      </c>
      <c r="B7" s="29">
        <v>0.085</v>
      </c>
      <c r="D7" s="29">
        <v>0.07</v>
      </c>
      <c r="E7" s="30">
        <f>PMT(D7/12, $B$9, -$B$6)</f>
      </c>
    </row>
    <row r="8" spans="1:5" x14ac:dyDescent="0.25">
      <c r="A8" s="6" t="s">
        <v>115</v>
      </c>
      <c r="B8" s="31">
        <v>20</v>
      </c>
      <c r="D8" s="29">
        <v>0.075</v>
      </c>
      <c r="E8" s="32">
        <f>PMT(D8/12, $B$9, -$B$6)</f>
      </c>
    </row>
    <row r="9" spans="1:5" x14ac:dyDescent="0.25">
      <c r="A9" s="6" t="s">
        <v>116</v>
      </c>
      <c r="B9" s="33">
        <f>B8*12</f>
      </c>
      <c r="D9" s="29">
        <v>0.08</v>
      </c>
      <c r="E9" s="30">
        <f>PMT(D9/12, $B$9, -$B$6)</f>
      </c>
    </row>
    <row r="10" spans="1:5" x14ac:dyDescent="0.25">
      <c r="A10" s="6" t="s">
        <v>117</v>
      </c>
      <c r="B10" s="34">
        <f>PMT(B7/12, B9, -B6)</f>
      </c>
      <c r="D10" s="29">
        <v>0.085</v>
      </c>
      <c r="E10" s="35">
        <f>PMT(D10/12, $B$9, -$B$6)</f>
      </c>
    </row>
    <row r="11" spans="4:5" x14ac:dyDescent="0.25">
      <c r="D11" s="29">
        <v>0.09</v>
      </c>
      <c r="E11" s="30">
        <f>PMT(D11/12, $B$9, -$B$6)</f>
      </c>
    </row>
    <row r="12" spans="4:5" x14ac:dyDescent="0.25">
      <c r="D12" s="29">
        <v>0.095</v>
      </c>
      <c r="E12" s="32">
        <f>PMT(D12/12, $B$9, -$B$6)</f>
      </c>
    </row>
    <row r="13" spans="4:5" x14ac:dyDescent="0.25">
      <c r="D13" s="29">
        <v>0.1</v>
      </c>
      <c r="E13" s="30">
        <f>PMT(D13/12, $B$9, -$B$6)</f>
      </c>
    </row>
    <row r="14" spans="4:5" x14ac:dyDescent="0.25">
      <c r="D14" s="29">
        <v>0.105</v>
      </c>
      <c r="E14" s="32">
        <f>PMT(D14/12, $B$9, -$B$6)</f>
      </c>
    </row>
    <row r="15" spans="4:5" x14ac:dyDescent="0.25">
      <c r="D15" s="29">
        <v>0.11</v>
      </c>
      <c r="E15" s="30">
        <f>PMT(D15/12, $B$9, -$B$6)</f>
      </c>
    </row>
    <row r="16" spans="4:5" x14ac:dyDescent="0.25">
      <c r="D16" s="29">
        <v>0.115</v>
      </c>
      <c r="E16" s="32">
        <f>PMT(D16/12, $B$9, -$B$6)</f>
      </c>
    </row>
    <row r="17" spans="4:5" x14ac:dyDescent="0.25">
      <c r="D17" s="29">
        <v>0.12</v>
      </c>
      <c r="E17" s="30">
        <f>PMT(D17/12, $B$9, -$B$6)</f>
      </c>
    </row>
    <row r="19" spans="4:8" x14ac:dyDescent="0.25">
      <c r="D19" s="36" t="s">
        <v>118</v>
      </c>
      <c r="E19" s="36"/>
      <c r="F19" s="36"/>
      <c r="G19" s="36"/>
      <c r="H19" s="36"/>
    </row>
    <row r="20" spans="4:8" x14ac:dyDescent="0.25">
      <c r="D20" s="36"/>
      <c r="E20" s="36"/>
      <c r="F20" s="36"/>
      <c r="G20" s="36"/>
      <c r="H20" s="36"/>
    </row>
    <row r="21" spans="4:8" x14ac:dyDescent="0.25">
      <c r="D21" s="36"/>
      <c r="E21" s="36"/>
      <c r="F21" s="36"/>
      <c r="G21" s="36"/>
      <c r="H21" s="36"/>
    </row>
    <row r="22" spans="4:8" x14ac:dyDescent="0.25">
      <c r="D22" s="36"/>
      <c r="E22" s="36"/>
      <c r="F22" s="36"/>
      <c r="G22" s="36"/>
      <c r="H22" s="36"/>
    </row>
    <row r="23" spans="4:8" x14ac:dyDescent="0.25">
      <c r="D23" s="36"/>
      <c r="E23" s="36"/>
      <c r="F23" s="36"/>
      <c r="G23" s="36"/>
      <c r="H23" s="36"/>
    </row>
  </sheetData>
  <mergeCells count="6">
    <mergeCell ref="A1:B1"/>
    <mergeCell ref="A2:H2"/>
    <mergeCell ref="A3:H3"/>
    <mergeCell ref="A5:B5"/>
    <mergeCell ref="D5:F5"/>
    <mergeCell ref="D19:H23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defaultRowHeight="15" outlineLevelRow="0" outlineLevelCol="0" x14ac:dyDescent="55"/>
  <cols>
    <col min="1" max="1" width="22" customWidth="1"/>
    <col min="2" max="2" width="18" customWidth="1"/>
    <col min="3" max="3" width="4" customWidth="1"/>
    <col min="4" max="4" width="16" customWidth="1"/>
    <col min="5" max="5" width="18" customWidth="1"/>
    <col min="6" max="7" width="20" customWidth="1"/>
    <col min="8" max="8" width="25" customWidth="1"/>
  </cols>
  <sheetData>
    <row r="1" ht="20" customHeight="1" spans="1:2" x14ac:dyDescent="0.25">
      <c r="A1" s="21" t="s">
        <v>107</v>
      </c>
      <c r="B1" s="21"/>
    </row>
    <row r="2" ht="28" customHeight="1" spans="1:8" x14ac:dyDescent="0.25">
      <c r="A2" s="37" t="s">
        <v>119</v>
      </c>
      <c r="B2" s="37"/>
      <c r="C2" s="37"/>
      <c r="D2" s="37"/>
      <c r="E2" s="37"/>
      <c r="F2" s="37"/>
      <c r="G2" s="37"/>
      <c r="H2" s="37"/>
    </row>
    <row r="3" ht="20" customHeight="1" spans="1:8" x14ac:dyDescent="0.25">
      <c r="A3" s="23" t="s">
        <v>120</v>
      </c>
      <c r="B3" s="23"/>
      <c r="C3" s="23"/>
      <c r="D3" s="23"/>
      <c r="E3" s="23"/>
      <c r="F3" s="23"/>
      <c r="G3" s="23"/>
      <c r="H3" s="23"/>
    </row>
    <row r="5" spans="1:7" x14ac:dyDescent="0.25">
      <c r="A5" s="38" t="s">
        <v>110</v>
      </c>
      <c r="B5" s="38"/>
      <c r="D5" s="39" t="s">
        <v>121</v>
      </c>
      <c r="E5" s="39"/>
      <c r="F5" s="39"/>
      <c r="G5" s="39"/>
    </row>
    <row r="6" spans="1:7" x14ac:dyDescent="0.25">
      <c r="A6" s="6" t="s">
        <v>112</v>
      </c>
      <c r="B6" s="26">
        <v>5000000</v>
      </c>
      <c r="D6" s="27" t="s">
        <v>122</v>
      </c>
      <c r="E6" s="40">
        <f>B10</f>
      </c>
      <c r="F6" s="41">
        <f>B11</f>
      </c>
      <c r="G6" s="42">
        <f>B12</f>
      </c>
    </row>
    <row r="7" spans="1:7" x14ac:dyDescent="0.25">
      <c r="A7" s="6" t="s">
        <v>114</v>
      </c>
      <c r="B7" s="29">
        <v>0.085</v>
      </c>
      <c r="D7" s="43">
        <v>0.07</v>
      </c>
      <c r="E7" s="44">
        <f>PMT(D7/12, $B$9, -$B$6)</f>
      </c>
      <c r="F7" s="44">
        <f>E7*$B$9</f>
      </c>
      <c r="G7" s="44">
        <f>F7-$B$6</f>
      </c>
    </row>
    <row r="8" spans="1:7" x14ac:dyDescent="0.25">
      <c r="A8" s="6" t="s">
        <v>123</v>
      </c>
      <c r="B8" s="31">
        <v>20</v>
      </c>
      <c r="D8" s="43">
        <v>0.075</v>
      </c>
      <c r="E8" s="45">
        <f>PMT(D8/12, $B$9, -$B$6)</f>
      </c>
      <c r="F8" s="45">
        <f>E8*$B$9</f>
      </c>
      <c r="G8" s="45">
        <f>F8-$B$6</f>
      </c>
    </row>
    <row r="9" spans="1:7" x14ac:dyDescent="0.25">
      <c r="A9" s="6" t="s">
        <v>124</v>
      </c>
      <c r="B9" s="46">
        <f>B8*12</f>
      </c>
      <c r="D9" s="43">
        <v>0.08</v>
      </c>
      <c r="E9" s="44">
        <f>PMT(D9/12, $B$9, -$B$6)</f>
      </c>
      <c r="F9" s="44">
        <f>E9*$B$9</f>
      </c>
      <c r="G9" s="44">
        <f>F9-$B$6</f>
      </c>
    </row>
    <row r="10" spans="1:7" x14ac:dyDescent="0.25">
      <c r="A10" s="6" t="s">
        <v>117</v>
      </c>
      <c r="B10" s="34">
        <f>PMT(B7/12, B9, -B6)</f>
      </c>
      <c r="D10" s="43">
        <v>0.085</v>
      </c>
      <c r="E10" s="45">
        <f>PMT(D10/12, $B$9, -$B$6)</f>
      </c>
      <c r="F10" s="45">
        <f>E10*$B$9</f>
      </c>
      <c r="G10" s="45">
        <f>F10-$B$6</f>
      </c>
    </row>
    <row r="11" spans="1:7" x14ac:dyDescent="0.25">
      <c r="A11" s="6" t="s">
        <v>125</v>
      </c>
      <c r="B11" s="34">
        <f>B10*B9</f>
      </c>
      <c r="D11" s="43">
        <v>0.09</v>
      </c>
      <c r="E11" s="44">
        <f>PMT(D11/12, $B$9, -$B$6)</f>
      </c>
      <c r="F11" s="44">
        <f>E11*$B$9</f>
      </c>
      <c r="G11" s="44">
        <f>F11-$B$6</f>
      </c>
    </row>
    <row r="12" spans="1:7" x14ac:dyDescent="0.25">
      <c r="A12" s="6" t="s">
        <v>126</v>
      </c>
      <c r="B12" s="34">
        <f>B11-B6</f>
      </c>
      <c r="D12" s="43">
        <v>0.095</v>
      </c>
      <c r="E12" s="45">
        <f>PMT(D12/12, $B$9, -$B$6)</f>
      </c>
      <c r="F12" s="45">
        <f>E12*$B$9</f>
      </c>
      <c r="G12" s="45">
        <f>F12-$B$6</f>
      </c>
    </row>
    <row r="13" spans="4:7" x14ac:dyDescent="0.25">
      <c r="D13" s="43">
        <v>0.1</v>
      </c>
      <c r="E13" s="44">
        <f>PMT(D13/12, $B$9, -$B$6)</f>
      </c>
      <c r="F13" s="44">
        <f>E13*$B$9</f>
      </c>
      <c r="G13" s="44">
        <f>F13-$B$6</f>
      </c>
    </row>
    <row r="14" spans="4:7" x14ac:dyDescent="0.25">
      <c r="D14" s="43">
        <v>0.105</v>
      </c>
      <c r="E14" s="45">
        <f>PMT(D14/12, $B$9, -$B$6)</f>
      </c>
      <c r="F14" s="45">
        <f>E14*$B$9</f>
      </c>
      <c r="G14" s="45">
        <f>F14-$B$6</f>
      </c>
    </row>
    <row r="15" spans="4:7" x14ac:dyDescent="0.25">
      <c r="D15" s="43">
        <v>0.11</v>
      </c>
      <c r="E15" s="44">
        <f>PMT(D15/12, $B$9, -$B$6)</f>
      </c>
      <c r="F15" s="44">
        <f>E15*$B$9</f>
      </c>
      <c r="G15" s="44">
        <f>F15-$B$6</f>
      </c>
    </row>
    <row r="16" spans="4:7" x14ac:dyDescent="0.25">
      <c r="D16" s="43">
        <v>0.115</v>
      </c>
      <c r="E16" s="45">
        <f>PMT(D16/12, $B$9, -$B$6)</f>
      </c>
      <c r="F16" s="45">
        <f>E16*$B$9</f>
      </c>
      <c r="G16" s="45">
        <f>F16-$B$6</f>
      </c>
    </row>
    <row r="17" spans="4:7" x14ac:dyDescent="0.25">
      <c r="D17" s="43">
        <v>0.12</v>
      </c>
      <c r="E17" s="44">
        <f>PMT(D17/12, $B$9, -$B$6)</f>
      </c>
      <c r="F17" s="44">
        <f>E17*$B$9</f>
      </c>
      <c r="G17" s="44">
        <f>F17-$B$6</f>
      </c>
    </row>
  </sheetData>
  <mergeCells count="5">
    <mergeCell ref="A1:B1"/>
    <mergeCell ref="A2:H2"/>
    <mergeCell ref="A3:H3"/>
    <mergeCell ref="A5:B5"/>
    <mergeCell ref="D5:G5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defaultRowHeight="15" outlineLevelRow="0" outlineLevelCol="0" x14ac:dyDescent="55"/>
  <cols>
    <col min="1" max="1" width="24" customWidth="1"/>
    <col min="2" max="2" width="18" customWidth="1"/>
    <col min="3" max="3" width="4" customWidth="1"/>
    <col min="4" max="4" width="18" customWidth="1"/>
    <col min="5" max="6" width="20" customWidth="1"/>
    <col min="7" max="7" width="25" customWidth="1"/>
  </cols>
  <sheetData>
    <row r="1" ht="20" customHeight="1" spans="1:2" x14ac:dyDescent="0.25">
      <c r="A1" s="21" t="s">
        <v>107</v>
      </c>
      <c r="B1" s="21"/>
    </row>
    <row r="2" ht="28" customHeight="1" spans="1:8" x14ac:dyDescent="0.25">
      <c r="A2" s="47" t="s">
        <v>127</v>
      </c>
      <c r="B2" s="47"/>
      <c r="C2" s="47"/>
      <c r="D2" s="47"/>
      <c r="E2" s="47"/>
      <c r="F2" s="47"/>
      <c r="G2" s="47"/>
      <c r="H2" s="47"/>
    </row>
    <row r="3" ht="20" customHeight="1" spans="1:8" x14ac:dyDescent="0.25">
      <c r="A3" s="23" t="s">
        <v>128</v>
      </c>
      <c r="B3" s="23"/>
      <c r="C3" s="23"/>
      <c r="D3" s="23"/>
      <c r="E3" s="23"/>
      <c r="F3" s="23"/>
      <c r="G3" s="23"/>
      <c r="H3" s="23"/>
    </row>
    <row r="5" spans="1:6" x14ac:dyDescent="0.25">
      <c r="A5" s="25" t="s">
        <v>129</v>
      </c>
      <c r="B5" s="25"/>
      <c r="D5" s="48" t="s">
        <v>130</v>
      </c>
      <c r="E5" s="48"/>
      <c r="F5" s="48"/>
    </row>
    <row r="6" spans="1:6" x14ac:dyDescent="0.25">
      <c r="A6" s="49" t="s">
        <v>131</v>
      </c>
      <c r="B6" s="50">
        <v>2500</v>
      </c>
      <c r="D6" s="51" t="s">
        <v>132</v>
      </c>
      <c r="E6" s="52">
        <f>B11</f>
      </c>
      <c r="F6" s="53">
        <f>B13</f>
      </c>
    </row>
    <row r="7" spans="1:6" x14ac:dyDescent="0.25">
      <c r="A7" s="49" t="s">
        <v>133</v>
      </c>
      <c r="B7" s="50">
        <v>1200</v>
      </c>
      <c r="D7" s="54">
        <v>5000</v>
      </c>
      <c r="E7" s="55">
        <f>D7*$B$6</f>
      </c>
      <c r="F7" s="56">
        <f>(D7*$B$8)-$B$9</f>
      </c>
    </row>
    <row r="8" spans="1:6" x14ac:dyDescent="0.25">
      <c r="A8" s="49" t="s">
        <v>134</v>
      </c>
      <c r="B8" s="57">
        <f>B6-B7</f>
      </c>
      <c r="D8" s="54">
        <v>7500</v>
      </c>
      <c r="E8" s="55">
        <f>D8*$B$6</f>
      </c>
      <c r="F8" s="56">
        <f>(D8*$B$8)-$B$9</f>
      </c>
    </row>
    <row r="9" spans="1:6" x14ac:dyDescent="0.25">
      <c r="A9" s="49" t="s">
        <v>135</v>
      </c>
      <c r="B9" s="50">
        <v>15000000</v>
      </c>
      <c r="D9" s="54">
        <v>10000</v>
      </c>
      <c r="E9" s="55">
        <f>D9*$B$6</f>
      </c>
      <c r="F9" s="56">
        <f>(D9*$B$8)-$B$9</f>
      </c>
    </row>
    <row r="10" spans="1:6" x14ac:dyDescent="0.25">
      <c r="A10" s="49" t="s">
        <v>136</v>
      </c>
      <c r="B10" s="58">
        <v>15000</v>
      </c>
      <c r="D10" s="54">
        <v>11538</v>
      </c>
      <c r="E10" s="55">
        <f>D10*$B$6</f>
      </c>
      <c r="F10" s="56">
        <f>(D10*$B$8)-$B$9</f>
      </c>
    </row>
    <row r="11" spans="1:6" x14ac:dyDescent="0.25">
      <c r="A11" s="49" t="s">
        <v>137</v>
      </c>
      <c r="B11" s="57">
        <f>B6*B10</f>
      </c>
      <c r="D11" s="54">
        <v>12500</v>
      </c>
      <c r="E11" s="55">
        <f>D11*$B$6</f>
      </c>
      <c r="F11" s="56">
        <f>(D11*$B$8)-$B$9</f>
      </c>
    </row>
    <row r="12" spans="1:6" x14ac:dyDescent="0.25">
      <c r="A12" s="49" t="s">
        <v>138</v>
      </c>
      <c r="B12" s="57">
        <f>B7*B10</f>
      </c>
      <c r="D12" s="54">
        <v>15000</v>
      </c>
      <c r="E12" s="55">
        <f>D12*$B$6</f>
      </c>
      <c r="F12" s="59">
        <f>(D12*$B$8)-$B$9</f>
      </c>
    </row>
    <row r="13" spans="1:6" x14ac:dyDescent="0.25">
      <c r="A13" s="49" t="s">
        <v>139</v>
      </c>
      <c r="B13" s="57">
        <f>(B8*B10)-B9</f>
      </c>
      <c r="D13" s="54">
        <v>17500</v>
      </c>
      <c r="E13" s="55">
        <f>D13*$B$6</f>
      </c>
      <c r="F13" s="56">
        <f>(D13*$B$8)-$B$9</f>
      </c>
    </row>
    <row r="14" spans="4:6" x14ac:dyDescent="0.25">
      <c r="D14" s="54">
        <v>20000</v>
      </c>
      <c r="E14" s="55">
        <f>D14*$B$6</f>
      </c>
      <c r="F14" s="56">
        <f>(D14*$B$8)-$B$9</f>
      </c>
    </row>
    <row r="15" spans="4:6" x14ac:dyDescent="0.25">
      <c r="D15" s="54">
        <v>22500</v>
      </c>
      <c r="E15" s="55">
        <f>D15*$B$6</f>
      </c>
      <c r="F15" s="56">
        <f>(D15*$B$8)-$B$9</f>
      </c>
    </row>
    <row r="16" spans="4:6" x14ac:dyDescent="0.25">
      <c r="D16" s="54">
        <v>25000</v>
      </c>
      <c r="E16" s="55">
        <f>D16*$B$6</f>
      </c>
      <c r="F16" s="56">
        <f>(D16*$B$8)-$B$9</f>
      </c>
    </row>
    <row r="17" spans="4:6" x14ac:dyDescent="0.25">
      <c r="D17" s="54">
        <v>30000</v>
      </c>
      <c r="E17" s="55">
        <f>D17*$B$6</f>
      </c>
      <c r="F17" s="56">
        <f>(D17*$B$8)-$B$9</f>
      </c>
    </row>
  </sheetData>
  <mergeCells count="5">
    <mergeCell ref="A1:B1"/>
    <mergeCell ref="A2:H2"/>
    <mergeCell ref="A3:H3"/>
    <mergeCell ref="A5:B5"/>
    <mergeCell ref="D5:F5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defaultRowHeight="15" outlineLevelRow="0" outlineLevelCol="0" x14ac:dyDescent="55"/>
  <cols>
    <col min="1" max="1" width="22" customWidth="1"/>
    <col min="2" max="2" width="18" customWidth="1"/>
    <col min="3" max="3" width="4" customWidth="1"/>
    <col min="4" max="4" width="18" customWidth="1"/>
    <col min="5" max="5" width="20" customWidth="1"/>
    <col min="6" max="6" width="25" customWidth="1"/>
  </cols>
  <sheetData>
    <row r="1" ht="20" customHeight="1" spans="1:2" x14ac:dyDescent="0.25">
      <c r="A1" s="21" t="s">
        <v>107</v>
      </c>
      <c r="B1" s="21"/>
    </row>
    <row r="2" ht="28" customHeight="1" spans="1:8" x14ac:dyDescent="0.25">
      <c r="A2" s="60" t="s">
        <v>140</v>
      </c>
      <c r="B2" s="60"/>
      <c r="C2" s="60"/>
      <c r="D2" s="60"/>
      <c r="E2" s="60"/>
      <c r="F2" s="60"/>
      <c r="G2" s="60"/>
      <c r="H2" s="60"/>
    </row>
    <row r="3" ht="20" customHeight="1" spans="1:8" x14ac:dyDescent="0.25">
      <c r="A3" s="23" t="s">
        <v>141</v>
      </c>
      <c r="B3" s="23"/>
      <c r="C3" s="23"/>
      <c r="D3" s="23"/>
      <c r="E3" s="23"/>
      <c r="F3" s="23"/>
      <c r="G3" s="23"/>
      <c r="H3" s="23"/>
    </row>
    <row r="5" spans="1:5" x14ac:dyDescent="0.25">
      <c r="A5" s="61" t="s">
        <v>142</v>
      </c>
      <c r="B5" s="61"/>
      <c r="D5" s="48" t="s">
        <v>143</v>
      </c>
      <c r="E5" s="48"/>
    </row>
    <row r="6" spans="1:5" x14ac:dyDescent="0.25">
      <c r="A6" s="49" t="s">
        <v>144</v>
      </c>
      <c r="B6" s="62">
        <v>-10000000</v>
      </c>
      <c r="D6" s="51" t="s">
        <v>145</v>
      </c>
      <c r="E6" s="63">
        <f>B13</f>
      </c>
    </row>
    <row r="7" spans="1:5" x14ac:dyDescent="0.25">
      <c r="A7" s="49" t="s">
        <v>146</v>
      </c>
      <c r="B7" s="50">
        <v>2800000</v>
      </c>
      <c r="D7" s="64">
        <v>0.08</v>
      </c>
      <c r="E7" s="56">
        <f>NPV(D7, $B$7:$B$11)+$B$6</f>
      </c>
    </row>
    <row r="8" spans="1:5" x14ac:dyDescent="0.25">
      <c r="A8" s="49" t="s">
        <v>147</v>
      </c>
      <c r="B8" s="50">
        <v>3200000</v>
      </c>
      <c r="D8" s="64">
        <v>0.1</v>
      </c>
      <c r="E8" s="56">
        <f>NPV(D8, $B$7:$B$11)+$B$6</f>
      </c>
    </row>
    <row r="9" spans="1:5" x14ac:dyDescent="0.25">
      <c r="A9" s="49" t="s">
        <v>148</v>
      </c>
      <c r="B9" s="50">
        <v>3600000</v>
      </c>
      <c r="D9" s="64">
        <v>0.12</v>
      </c>
      <c r="E9" s="56">
        <f>NPV(D9, $B$7:$B$11)+$B$6</f>
      </c>
    </row>
    <row r="10" spans="1:5" x14ac:dyDescent="0.25">
      <c r="A10" s="49" t="s">
        <v>149</v>
      </c>
      <c r="B10" s="50">
        <v>4000000</v>
      </c>
      <c r="D10" s="64">
        <v>0.14</v>
      </c>
      <c r="E10" s="56">
        <f>NPV(D10, $B$7:$B$11)+$B$6</f>
      </c>
    </row>
    <row r="11" spans="1:5" x14ac:dyDescent="0.25">
      <c r="A11" s="49" t="s">
        <v>150</v>
      </c>
      <c r="B11" s="50">
        <v>4500000</v>
      </c>
      <c r="D11" s="64">
        <v>0.16</v>
      </c>
      <c r="E11" s="56">
        <f>NPV(D11, $B$7:$B$11)+$B$6</f>
      </c>
    </row>
    <row r="12" spans="1:5" x14ac:dyDescent="0.25">
      <c r="A12" s="49" t="s">
        <v>151</v>
      </c>
      <c r="B12" s="65">
        <v>0.12</v>
      </c>
      <c r="D12" s="64">
        <v>0.18</v>
      </c>
      <c r="E12" s="56">
        <f>NPV(D12, $B$7:$B$11)+$B$6</f>
      </c>
    </row>
    <row r="13" spans="1:5" x14ac:dyDescent="0.25">
      <c r="A13" s="49" t="s">
        <v>152</v>
      </c>
      <c r="B13" s="66">
        <f>NPV(B12, B7:B11)+B6</f>
      </c>
      <c r="D13" s="64">
        <v>0.2</v>
      </c>
      <c r="E13" s="56">
        <f>NPV(D13, $B$7:$B$11)+$B$6</f>
      </c>
    </row>
    <row r="14" spans="1:5" x14ac:dyDescent="0.25">
      <c r="A14" s="49" t="s">
        <v>153</v>
      </c>
      <c r="B14" s="67">
        <f>IRR(B6:B11)</f>
      </c>
      <c r="D14" s="64">
        <v>0.214</v>
      </c>
      <c r="E14" s="68">
        <f>NPV(D14, $B$7:$B$11)+$B$6</f>
      </c>
    </row>
    <row r="15" spans="4:5" x14ac:dyDescent="0.25">
      <c r="D15" s="64">
        <v>0.22</v>
      </c>
      <c r="E15" s="56">
        <f>NPV(D15, $B$7:$B$11)+$B$6</f>
      </c>
    </row>
    <row r="16" spans="4:5" x14ac:dyDescent="0.25">
      <c r="D16" s="64">
        <v>0.24</v>
      </c>
      <c r="E16" s="56">
        <f>NPV(D16, $B$7:$B$11)+$B$6</f>
      </c>
    </row>
    <row r="17" spans="4:5" x14ac:dyDescent="0.25">
      <c r="D17" s="64">
        <v>0.26</v>
      </c>
      <c r="E17" s="56">
        <f>NPV(D17, $B$7:$B$11)+$B$6</f>
      </c>
    </row>
  </sheetData>
  <mergeCells count="5">
    <mergeCell ref="A1:B1"/>
    <mergeCell ref="A2:H2"/>
    <mergeCell ref="A3:H3"/>
    <mergeCell ref="A5:B5"/>
    <mergeCell ref="D5:E5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/>
  </sheetViews>
  <sheetFormatPr defaultRowHeight="15" outlineLevelRow="0" outlineLevelCol="0" x14ac:dyDescent="55"/>
  <cols>
    <col min="1" max="1" width="24" customWidth="1"/>
    <col min="2" max="2" width="18" customWidth="1"/>
    <col min="3" max="3" width="4" customWidth="1"/>
    <col min="4" max="4" width="16" customWidth="1"/>
    <col min="5" max="7" width="18" customWidth="1"/>
  </cols>
  <sheetData>
    <row r="1" ht="20" customHeight="1" spans="1:2" x14ac:dyDescent="0.25">
      <c r="A1" s="21" t="s">
        <v>107</v>
      </c>
      <c r="B1" s="21"/>
    </row>
    <row r="2" ht="28" customHeight="1" spans="1:8" x14ac:dyDescent="0.25">
      <c r="A2" s="37" t="s">
        <v>154</v>
      </c>
      <c r="B2" s="37"/>
      <c r="C2" s="37"/>
      <c r="D2" s="37"/>
      <c r="E2" s="37"/>
      <c r="F2" s="37"/>
      <c r="G2" s="37"/>
      <c r="H2" s="37"/>
    </row>
    <row r="3" ht="20" customHeight="1" spans="1:8" x14ac:dyDescent="0.25">
      <c r="A3" s="23" t="s">
        <v>155</v>
      </c>
      <c r="B3" s="23"/>
      <c r="C3" s="23"/>
      <c r="D3" s="23"/>
      <c r="E3" s="23"/>
      <c r="F3" s="23"/>
      <c r="G3" s="23"/>
      <c r="H3" s="23"/>
    </row>
    <row r="5" spans="1:7" x14ac:dyDescent="0.25">
      <c r="A5" s="38" t="s">
        <v>156</v>
      </c>
      <c r="B5" s="38"/>
      <c r="D5" s="48" t="s">
        <v>157</v>
      </c>
      <c r="E5" s="48"/>
      <c r="F5" s="48"/>
      <c r="G5" s="48"/>
    </row>
    <row r="6" spans="1:7" x14ac:dyDescent="0.25">
      <c r="A6" s="49" t="s">
        <v>158</v>
      </c>
      <c r="B6" s="58">
        <v>100000</v>
      </c>
      <c r="D6" s="51" t="s">
        <v>159</v>
      </c>
      <c r="E6" s="69">
        <f>B11</f>
      </c>
      <c r="F6" s="70">
        <f>B12</f>
      </c>
      <c r="G6" s="71">
        <f>B13</f>
      </c>
    </row>
    <row r="7" spans="1:7" x14ac:dyDescent="0.25">
      <c r="A7" s="49" t="s">
        <v>160</v>
      </c>
      <c r="B7" s="50">
        <v>1200</v>
      </c>
      <c r="D7" s="64">
        <v>0.6</v>
      </c>
      <c r="E7" s="55">
        <f>$B$6*$B$7*D7</f>
      </c>
      <c r="F7" s="55">
        <f>E7*(1-$B$9)</f>
      </c>
      <c r="G7" s="72">
        <f>F7/$B$10</f>
      </c>
    </row>
    <row r="8" spans="1:7" x14ac:dyDescent="0.25">
      <c r="A8" s="49" t="s">
        <v>161</v>
      </c>
      <c r="B8" s="73">
        <v>0.85</v>
      </c>
      <c r="D8" s="64">
        <v>0.65</v>
      </c>
      <c r="E8" s="55">
        <f>$B$6*$B$7*D8</f>
      </c>
      <c r="F8" s="55">
        <f>E8*(1-$B$9)</f>
      </c>
      <c r="G8" s="72">
        <f>F8/$B$10</f>
      </c>
    </row>
    <row r="9" spans="1:7" x14ac:dyDescent="0.25">
      <c r="A9" s="49" t="s">
        <v>162</v>
      </c>
      <c r="B9" s="73">
        <v>0.25</v>
      </c>
      <c r="D9" s="64">
        <v>0.7</v>
      </c>
      <c r="E9" s="55">
        <f>$B$6*$B$7*D9</f>
      </c>
      <c r="F9" s="55">
        <f>E9*(1-$B$9)</f>
      </c>
      <c r="G9" s="72">
        <f>F9/$B$10</f>
      </c>
    </row>
    <row r="10" spans="1:7" x14ac:dyDescent="0.25">
      <c r="A10" s="49" t="s">
        <v>163</v>
      </c>
      <c r="B10" s="50">
        <v>60000000</v>
      </c>
      <c r="D10" s="64">
        <v>0.75</v>
      </c>
      <c r="E10" s="55">
        <f>$B$6*$B$7*D10</f>
      </c>
      <c r="F10" s="55">
        <f>E10*(1-$B$9)</f>
      </c>
      <c r="G10" s="72">
        <f>F10/$B$10</f>
      </c>
    </row>
    <row r="11" spans="1:7" x14ac:dyDescent="0.25">
      <c r="A11" s="49" t="s">
        <v>164</v>
      </c>
      <c r="B11" s="57">
        <f>B6*B7*B8</f>
      </c>
      <c r="D11" s="64">
        <v>0.8</v>
      </c>
      <c r="E11" s="55">
        <f>$B$6*$B$7*D11</f>
      </c>
      <c r="F11" s="55">
        <f>E11*(1-$B$9)</f>
      </c>
      <c r="G11" s="72">
        <f>F11/$B$10</f>
      </c>
    </row>
    <row r="12" spans="1:7" x14ac:dyDescent="0.25">
      <c r="A12" s="49" t="s">
        <v>165</v>
      </c>
      <c r="B12" s="57">
        <f>B11*(1-B9)</f>
      </c>
      <c r="D12" s="64">
        <v>0.85</v>
      </c>
      <c r="E12" s="55">
        <f>$B$6*$B$7*D12</f>
      </c>
      <c r="F12" s="55">
        <f>E12*(1-$B$9)</f>
      </c>
      <c r="G12" s="74">
        <f>F12/$B$10</f>
      </c>
    </row>
    <row r="13" spans="1:7" x14ac:dyDescent="0.25">
      <c r="A13" s="49" t="s">
        <v>166</v>
      </c>
      <c r="B13" s="75">
        <f>B12/B10</f>
      </c>
      <c r="D13" s="64">
        <v>0.9</v>
      </c>
      <c r="E13" s="55">
        <f>$B$6*$B$7*D13</f>
      </c>
      <c r="F13" s="55">
        <f>E13*(1-$B$9)</f>
      </c>
      <c r="G13" s="72">
        <f>F13/$B$10</f>
      </c>
    </row>
    <row r="14" spans="4:7" x14ac:dyDescent="0.25">
      <c r="D14" s="64">
        <v>0.95</v>
      </c>
      <c r="E14" s="55">
        <f>$B$6*$B$7*D14</f>
      </c>
      <c r="F14" s="55">
        <f>E14*(1-$B$9)</f>
      </c>
      <c r="G14" s="72">
        <f>F14/$B$10</f>
      </c>
    </row>
    <row r="15" spans="4:7" x14ac:dyDescent="0.25">
      <c r="D15" s="64">
        <v>1</v>
      </c>
      <c r="E15" s="55">
        <f>$B$6*$B$7*D15</f>
      </c>
      <c r="F15" s="55">
        <f>E15*(1-$B$9)</f>
      </c>
      <c r="G15" s="72">
        <f>F15/$B$10</f>
      </c>
    </row>
  </sheetData>
  <mergeCells count="5">
    <mergeCell ref="A1:B1"/>
    <mergeCell ref="A2:H2"/>
    <mergeCell ref="A3:H3"/>
    <mergeCell ref="A5:B5"/>
    <mergeCell ref="D5:G5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defaultRowHeight="15" outlineLevelRow="0" outlineLevelCol="0" x14ac:dyDescent="55"/>
  <cols>
    <col min="1" max="1" width="24" customWidth="1"/>
    <col min="2" max="2" width="18" customWidth="1"/>
    <col min="3" max="3" width="4" customWidth="1"/>
    <col min="4" max="4" width="16" customWidth="1"/>
    <col min="5" max="7" width="18" customWidth="1"/>
  </cols>
  <sheetData>
    <row r="1" ht="20" customHeight="1" spans="1:2" x14ac:dyDescent="0.25">
      <c r="A1" s="21" t="s">
        <v>107</v>
      </c>
      <c r="B1" s="21"/>
    </row>
    <row r="2" ht="28" customHeight="1" spans="1:8" x14ac:dyDescent="0.25">
      <c r="A2" s="76" t="s">
        <v>167</v>
      </c>
      <c r="B2" s="76"/>
      <c r="C2" s="76"/>
      <c r="D2" s="76"/>
      <c r="E2" s="76"/>
      <c r="F2" s="76"/>
      <c r="G2" s="76"/>
      <c r="H2" s="76"/>
    </row>
    <row r="3" ht="20" customHeight="1" spans="1:8" x14ac:dyDescent="0.25">
      <c r="A3" s="23" t="s">
        <v>168</v>
      </c>
      <c r="B3" s="23"/>
      <c r="C3" s="23"/>
      <c r="D3" s="23"/>
      <c r="E3" s="23"/>
      <c r="F3" s="23"/>
      <c r="G3" s="23"/>
      <c r="H3" s="23"/>
    </row>
    <row r="5" spans="1:7" x14ac:dyDescent="0.25">
      <c r="A5" s="39" t="s">
        <v>169</v>
      </c>
      <c r="B5" s="39"/>
      <c r="D5" s="48" t="s">
        <v>170</v>
      </c>
      <c r="E5" s="48"/>
      <c r="F5" s="48"/>
      <c r="G5" s="48"/>
    </row>
    <row r="6" spans="1:7" x14ac:dyDescent="0.25">
      <c r="A6" s="49" t="s">
        <v>171</v>
      </c>
      <c r="B6" s="77">
        <v>500000</v>
      </c>
      <c r="D6" s="51" t="s">
        <v>172</v>
      </c>
      <c r="E6" s="78">
        <f>B10</f>
      </c>
      <c r="F6" s="79">
        <f>B12</f>
      </c>
      <c r="G6" s="80">
        <f>B13</f>
      </c>
    </row>
    <row r="7" spans="1:7" x14ac:dyDescent="0.25">
      <c r="A7" s="49" t="s">
        <v>173</v>
      </c>
      <c r="B7" s="50">
        <v>32000000</v>
      </c>
      <c r="D7" s="81">
        <v>78</v>
      </c>
      <c r="E7" s="55">
        <f>$B$6*D7</f>
      </c>
      <c r="F7" s="82">
        <f>E7-$B$11</f>
      </c>
      <c r="G7" s="83">
        <f>F7/E7</f>
      </c>
    </row>
    <row r="8" spans="1:7" x14ac:dyDescent="0.25">
      <c r="A8" s="49" t="s">
        <v>174</v>
      </c>
      <c r="B8" s="50">
        <v>2500000</v>
      </c>
      <c r="D8" s="81">
        <v>80</v>
      </c>
      <c r="E8" s="55">
        <f>$B$6*D8</f>
      </c>
      <c r="F8" s="82">
        <f>E8-$B$11</f>
      </c>
      <c r="G8" s="83">
        <f>F8/E8</f>
      </c>
    </row>
    <row r="9" spans="1:7" x14ac:dyDescent="0.25">
      <c r="A9" s="49" t="s">
        <v>175</v>
      </c>
      <c r="B9" s="84">
        <v>84</v>
      </c>
      <c r="D9" s="81">
        <v>82</v>
      </c>
      <c r="E9" s="55">
        <f>$B$6*D9</f>
      </c>
      <c r="F9" s="82">
        <f>E9-$B$11</f>
      </c>
      <c r="G9" s="83">
        <f>F9/E9</f>
      </c>
    </row>
    <row r="10" spans="1:7" x14ac:dyDescent="0.25">
      <c r="A10" s="49" t="s">
        <v>176</v>
      </c>
      <c r="B10" s="57">
        <f>B6*B9</f>
      </c>
      <c r="D10" s="81">
        <v>84</v>
      </c>
      <c r="E10" s="55">
        <f>$B$6*D10</f>
      </c>
      <c r="F10" s="82">
        <f>E10-$B$11</f>
      </c>
      <c r="G10" s="83">
        <f>F10/E10</f>
      </c>
    </row>
    <row r="11" spans="1:7" x14ac:dyDescent="0.25">
      <c r="A11" s="49" t="s">
        <v>177</v>
      </c>
      <c r="B11" s="57">
        <f>B7+B8</f>
      </c>
      <c r="D11" s="81">
        <v>86</v>
      </c>
      <c r="E11" s="55">
        <f>$B$6*D11</f>
      </c>
      <c r="F11" s="82">
        <f>E11-$B$11</f>
      </c>
      <c r="G11" s="83">
        <f>F11/E11</f>
      </c>
    </row>
    <row r="12" spans="1:7" x14ac:dyDescent="0.25">
      <c r="A12" s="49" t="s">
        <v>178</v>
      </c>
      <c r="B12" s="57">
        <f>B10-B11</f>
      </c>
      <c r="D12" s="81">
        <v>88</v>
      </c>
      <c r="E12" s="55">
        <f>$B$6*D12</f>
      </c>
      <c r="F12" s="82">
        <f>E12-$B$11</f>
      </c>
      <c r="G12" s="83">
        <f>F12/E12</f>
      </c>
    </row>
    <row r="13" spans="1:7" x14ac:dyDescent="0.25">
      <c r="A13" s="49" t="s">
        <v>179</v>
      </c>
      <c r="B13" s="85">
        <f>B12/B10</f>
      </c>
      <c r="D13" s="81">
        <v>90</v>
      </c>
      <c r="E13" s="55">
        <f>$B$6*D13</f>
      </c>
      <c r="F13" s="82">
        <f>E13-$B$11</f>
      </c>
      <c r="G13" s="83">
        <f>F13/E13</f>
      </c>
    </row>
    <row r="14" spans="4:7" x14ac:dyDescent="0.25">
      <c r="D14" s="81">
        <v>92</v>
      </c>
      <c r="E14" s="55">
        <f>$B$6*D14</f>
      </c>
      <c r="F14" s="82">
        <f>E14-$B$11</f>
      </c>
      <c r="G14" s="83">
        <f>F14/E14</f>
      </c>
    </row>
    <row r="15" spans="4:7" x14ac:dyDescent="0.25">
      <c r="D15" s="81">
        <v>94</v>
      </c>
      <c r="E15" s="55">
        <f>$B$6*D15</f>
      </c>
      <c r="F15" s="82">
        <f>E15-$B$11</f>
      </c>
      <c r="G15" s="83">
        <f>F15/E15</f>
      </c>
    </row>
    <row r="16" spans="4:7" x14ac:dyDescent="0.25">
      <c r="D16" s="81">
        <v>96</v>
      </c>
      <c r="E16" s="55">
        <f>$B$6*D16</f>
      </c>
      <c r="F16" s="82">
        <f>E16-$B$11</f>
      </c>
      <c r="G16" s="83">
        <f>F16/E16</f>
      </c>
    </row>
    <row r="17" spans="4:7" x14ac:dyDescent="0.25">
      <c r="D17" s="81">
        <v>98</v>
      </c>
      <c r="E17" s="55">
        <f>$B$6*D17</f>
      </c>
      <c r="F17" s="82">
        <f>E17-$B$11</f>
      </c>
      <c r="G17" s="83">
        <f>F17/E17</f>
      </c>
    </row>
  </sheetData>
  <mergeCells count="5">
    <mergeCell ref="A1:B1"/>
    <mergeCell ref="A2:H2"/>
    <mergeCell ref="A3:H3"/>
    <mergeCell ref="A5:B5"/>
    <mergeCell ref="D5:G5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/>
  </sheetViews>
  <sheetFormatPr defaultRowHeight="15" outlineLevelRow="0" outlineLevelCol="0" x14ac:dyDescent="55"/>
  <cols>
    <col min="1" max="1" width="22" customWidth="1"/>
    <col min="2" max="2" width="18" customWidth="1"/>
    <col min="3" max="3" width="4" customWidth="1"/>
    <col min="4" max="4" width="18" customWidth="1"/>
    <col min="5" max="9" width="16" customWidth="1"/>
  </cols>
  <sheetData>
    <row r="1" ht="20" customHeight="1" spans="1:2" x14ac:dyDescent="0.25">
      <c r="A1" s="21" t="s">
        <v>107</v>
      </c>
      <c r="B1" s="21"/>
    </row>
    <row r="2" ht="28" customHeight="1" spans="1:8" x14ac:dyDescent="0.25">
      <c r="A2" s="22" t="s">
        <v>180</v>
      </c>
      <c r="B2" s="22"/>
      <c r="C2" s="22"/>
      <c r="D2" s="22"/>
      <c r="E2" s="22"/>
      <c r="F2" s="22"/>
      <c r="G2" s="22"/>
      <c r="H2" s="22"/>
    </row>
    <row r="3" ht="20" customHeight="1" spans="1:8" x14ac:dyDescent="0.25">
      <c r="A3" s="23" t="s">
        <v>181</v>
      </c>
      <c r="B3" s="23"/>
      <c r="C3" s="23"/>
      <c r="D3" s="23"/>
      <c r="E3" s="23"/>
      <c r="F3" s="23"/>
      <c r="G3" s="23"/>
      <c r="H3" s="23"/>
    </row>
    <row r="5" spans="1:9" x14ac:dyDescent="0.25">
      <c r="A5" s="24" t="s">
        <v>182</v>
      </c>
      <c r="B5" s="24"/>
      <c r="D5" s="25" t="s">
        <v>183</v>
      </c>
      <c r="E5" s="25"/>
      <c r="F5" s="25"/>
      <c r="G5" s="25"/>
      <c r="H5" s="25"/>
      <c r="I5" s="25"/>
    </row>
    <row r="6" spans="1:9" x14ac:dyDescent="0.25">
      <c r="A6" s="49" t="s">
        <v>184</v>
      </c>
      <c r="B6" s="86">
        <v>1200</v>
      </c>
      <c r="D6" s="27" t="s">
        <v>185</v>
      </c>
      <c r="E6" s="87">
        <v>800</v>
      </c>
      <c r="F6" s="87">
        <v>1000</v>
      </c>
      <c r="G6" s="87">
        <v>1200</v>
      </c>
      <c r="H6" s="87">
        <v>1400</v>
      </c>
      <c r="I6" s="87">
        <v>1600</v>
      </c>
    </row>
    <row r="7" spans="1:9" x14ac:dyDescent="0.25">
      <c r="A7" s="49" t="s">
        <v>186</v>
      </c>
      <c r="B7" s="58">
        <v>10000</v>
      </c>
      <c r="D7" s="88">
        <f>B12</f>
      </c>
      <c r="E7" s="89">
        <f>(E6*$B$7)-($B$8*$B$7)-$B$9</f>
      </c>
      <c r="F7" s="89">
        <f>(F6*$B$7)-($B$8*$B$7)-$B$9</f>
      </c>
      <c r="G7" s="90">
        <f>(G6*$B$7)-($B$8*$B$7)-$B$9</f>
      </c>
      <c r="H7" s="89">
        <f>(H6*$B$7)-($B$8*$B$7)-$B$9</f>
      </c>
      <c r="I7" s="89">
        <f>(I6*$B$7)-($B$8*$B$7)-$B$9</f>
      </c>
    </row>
    <row r="8" spans="1:2" x14ac:dyDescent="0.25">
      <c r="A8" s="49" t="s">
        <v>187</v>
      </c>
      <c r="B8" s="86">
        <v>750</v>
      </c>
    </row>
    <row r="9" spans="1:2" x14ac:dyDescent="0.25">
      <c r="A9" s="49" t="s">
        <v>188</v>
      </c>
      <c r="B9" s="50">
        <v>2500000</v>
      </c>
    </row>
    <row r="10" spans="1:2" x14ac:dyDescent="0.25">
      <c r="A10" s="49" t="s">
        <v>189</v>
      </c>
      <c r="B10" s="57">
        <f>B6*B7</f>
      </c>
    </row>
    <row r="11" spans="1:2" x14ac:dyDescent="0.25">
      <c r="A11" s="49" t="s">
        <v>190</v>
      </c>
      <c r="B11" s="57">
        <f>B8*B7</f>
      </c>
    </row>
    <row r="12" spans="1:2" x14ac:dyDescent="0.25">
      <c r="A12" s="49" t="s">
        <v>191</v>
      </c>
      <c r="B12" s="57">
        <f>B10-B11-B9</f>
      </c>
    </row>
  </sheetData>
  <mergeCells count="5">
    <mergeCell ref="A1:B1"/>
    <mergeCell ref="A2:H2"/>
    <mergeCell ref="A3:H3"/>
    <mergeCell ref="A5:B5"/>
    <mergeCell ref="D5:I5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 outlineLevelRow="0" outlineLevelCol="0" x14ac:dyDescent="55"/>
  <cols>
    <col min="1" max="1" width="22" customWidth="1"/>
    <col min="2" max="2" width="32" customWidth="1"/>
    <col min="3" max="3" width="30" customWidth="1"/>
    <col min="4" max="4" width="36" customWidth="1"/>
  </cols>
  <sheetData>
    <row r="1" ht="20" customHeight="1" spans="1:2" x14ac:dyDescent="0.25">
      <c r="A1" s="21" t="s">
        <v>107</v>
      </c>
      <c r="B1" s="21"/>
    </row>
    <row r="2" ht="28" customHeight="1" spans="1:8" x14ac:dyDescent="0.25">
      <c r="A2" s="91" t="s">
        <v>192</v>
      </c>
      <c r="B2" s="91"/>
      <c r="C2" s="91"/>
      <c r="D2" s="91"/>
      <c r="E2" s="91"/>
      <c r="F2" s="91"/>
      <c r="G2" s="91"/>
      <c r="H2" s="91"/>
    </row>
    <row r="3" ht="20" customHeight="1" spans="1:8" x14ac:dyDescent="0.25">
      <c r="A3" s="23" t="s">
        <v>193</v>
      </c>
      <c r="B3" s="23"/>
      <c r="C3" s="23"/>
      <c r="D3" s="23"/>
      <c r="E3" s="23"/>
      <c r="F3" s="23"/>
      <c r="G3" s="23"/>
      <c r="H3" s="23"/>
    </row>
    <row r="5" spans="1:4" x14ac:dyDescent="0.25">
      <c r="A5" s="4" t="s">
        <v>194</v>
      </c>
      <c r="B5" s="4"/>
      <c r="C5" s="4"/>
      <c r="D5" s="4"/>
    </row>
    <row r="6" ht="24" customHeight="1" spans="1:4" x14ac:dyDescent="0.25">
      <c r="A6" s="92" t="s">
        <v>195</v>
      </c>
      <c r="B6" s="92" t="s">
        <v>196</v>
      </c>
      <c r="C6" s="92" t="s">
        <v>197</v>
      </c>
      <c r="D6" s="92" t="s">
        <v>198</v>
      </c>
    </row>
    <row r="7" ht="24" customHeight="1" spans="1:4" x14ac:dyDescent="0.25">
      <c r="A7" s="93" t="s">
        <v>199</v>
      </c>
      <c r="B7" s="93" t="s">
        <v>200</v>
      </c>
      <c r="C7" s="93" t="s">
        <v>201</v>
      </c>
      <c r="D7" s="93" t="s">
        <v>202</v>
      </c>
    </row>
    <row r="8" ht="24" customHeight="1" spans="1:4" x14ac:dyDescent="0.25">
      <c r="A8" s="94" t="s">
        <v>203</v>
      </c>
      <c r="B8" s="94" t="s">
        <v>204</v>
      </c>
      <c r="C8" s="94" t="s">
        <v>205</v>
      </c>
      <c r="D8" s="94" t="s">
        <v>206</v>
      </c>
    </row>
    <row r="9" ht="24" customHeight="1" spans="1:4" x14ac:dyDescent="0.25">
      <c r="A9" s="93" t="s">
        <v>207</v>
      </c>
      <c r="B9" s="93" t="s">
        <v>208</v>
      </c>
      <c r="C9" s="93" t="s">
        <v>209</v>
      </c>
      <c r="D9" s="93" t="s">
        <v>210</v>
      </c>
    </row>
    <row r="12" spans="1:4" x14ac:dyDescent="0.25">
      <c r="A12" s="95" t="s">
        <v>211</v>
      </c>
      <c r="B12" s="95"/>
      <c r="C12" s="95"/>
      <c r="D12" s="95"/>
    </row>
    <row r="13" spans="1:4" x14ac:dyDescent="0.25">
      <c r="A13" s="95"/>
      <c r="B13" s="95"/>
      <c r="C13" s="95"/>
      <c r="D13" s="95"/>
    </row>
    <row r="14" spans="1:4" x14ac:dyDescent="0.25">
      <c r="A14" s="95"/>
      <c r="B14" s="95"/>
      <c r="C14" s="95"/>
      <c r="D14" s="95"/>
    </row>
    <row r="15" spans="1:4" x14ac:dyDescent="0.25">
      <c r="A15" s="95"/>
      <c r="B15" s="95"/>
      <c r="C15" s="95"/>
      <c r="D15" s="95"/>
    </row>
    <row r="16" spans="1:4" x14ac:dyDescent="0.25">
      <c r="A16" s="95"/>
      <c r="B16" s="95"/>
      <c r="C16" s="95"/>
      <c r="D16" s="95"/>
    </row>
  </sheetData>
  <mergeCells count="5">
    <mergeCell ref="A1:B1"/>
    <mergeCell ref="A2:H2"/>
    <mergeCell ref="A3:H3"/>
    <mergeCell ref="A5:D5"/>
    <mergeCell ref="A12:D16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 outlineLevelRow="0" outlineLevelCol="0" x14ac:dyDescent="55"/>
  <cols>
    <col min="1" max="1" width="22" customWidth="1"/>
    <col min="2" max="2" width="18" customWidth="1"/>
    <col min="3" max="3" width="4" customWidth="1"/>
    <col min="4" max="9" width="16" customWidth="1"/>
  </cols>
  <sheetData>
    <row r="1" ht="20" customHeight="1" spans="1:2" x14ac:dyDescent="0.25">
      <c r="A1" s="21" t="s">
        <v>107</v>
      </c>
      <c r="B1" s="21"/>
    </row>
    <row r="2" ht="28" customHeight="1" spans="1:8" x14ac:dyDescent="0.25">
      <c r="A2" s="47" t="s">
        <v>212</v>
      </c>
      <c r="B2" s="47"/>
      <c r="C2" s="47"/>
      <c r="D2" s="47"/>
      <c r="E2" s="47"/>
      <c r="F2" s="47"/>
      <c r="G2" s="47"/>
      <c r="H2" s="47"/>
    </row>
    <row r="3" ht="20" customHeight="1" spans="1:8" x14ac:dyDescent="0.25">
      <c r="A3" s="23" t="s">
        <v>213</v>
      </c>
      <c r="B3" s="23"/>
      <c r="C3" s="23"/>
      <c r="D3" s="23"/>
      <c r="E3" s="23"/>
      <c r="F3" s="23"/>
      <c r="G3" s="23"/>
      <c r="H3" s="23"/>
    </row>
    <row r="5" spans="1:9" x14ac:dyDescent="0.25">
      <c r="A5" s="25" t="s">
        <v>214</v>
      </c>
      <c r="B5" s="25"/>
      <c r="D5" s="48" t="s">
        <v>215</v>
      </c>
      <c r="E5" s="48"/>
      <c r="F5" s="48"/>
      <c r="G5" s="48"/>
      <c r="H5" s="48"/>
      <c r="I5" s="48"/>
    </row>
    <row r="6" spans="1:9" x14ac:dyDescent="0.25">
      <c r="A6" s="49" t="s">
        <v>184</v>
      </c>
      <c r="B6" s="86">
        <v>1200</v>
      </c>
      <c r="D6" s="96">
        <f>B10</f>
      </c>
      <c r="E6" s="97">
        <v>5000</v>
      </c>
      <c r="F6" s="97">
        <v>7500</v>
      </c>
      <c r="G6" s="97">
        <v>10000</v>
      </c>
      <c r="H6" s="97">
        <v>15000</v>
      </c>
      <c r="I6" s="97">
        <v>20000</v>
      </c>
    </row>
    <row r="7" spans="1:9" x14ac:dyDescent="0.25">
      <c r="A7" s="49" t="s">
        <v>216</v>
      </c>
      <c r="B7" s="58">
        <v>10000</v>
      </c>
      <c r="D7" s="87">
        <v>900</v>
      </c>
      <c r="E7" s="89">
        <f>(D7-$B$8)*E6-$B$9</f>
      </c>
      <c r="F7" s="89">
        <f>(D7-$B$8)*F6-$B$9</f>
      </c>
      <c r="G7" s="89">
        <f>(D7-$B$8)*G6-$B$9</f>
      </c>
      <c r="H7" s="89">
        <f>(D7-$B$8)*H6-$B$9</f>
      </c>
      <c r="I7" s="89">
        <f>(D7-$B$8)*I6-$B$9</f>
      </c>
    </row>
    <row r="8" spans="1:9" x14ac:dyDescent="0.25">
      <c r="A8" s="49" t="s">
        <v>217</v>
      </c>
      <c r="B8" s="86">
        <v>750</v>
      </c>
      <c r="D8" s="87">
        <v>1000</v>
      </c>
      <c r="E8" s="98">
        <f>(D8-$B$8)*E6-$B$9</f>
      </c>
      <c r="F8" s="98">
        <f>(D8-$B$8)*F6-$B$9</f>
      </c>
      <c r="G8" s="98">
        <f>(D8-$B$8)*G6-$B$9</f>
      </c>
      <c r="H8" s="98">
        <f>(D8-$B$8)*H6-$B$9</f>
      </c>
      <c r="I8" s="98">
        <f>(D8-$B$8)*I6-$B$9</f>
      </c>
    </row>
    <row r="9" spans="1:9" x14ac:dyDescent="0.25">
      <c r="A9" s="49" t="s">
        <v>188</v>
      </c>
      <c r="B9" s="50">
        <v>2500000</v>
      </c>
      <c r="D9" s="87">
        <v>1100</v>
      </c>
      <c r="E9" s="89">
        <f>(D9-$B$8)*E6-$B$9</f>
      </c>
      <c r="F9" s="89">
        <f>(D9-$B$8)*F6-$B$9</f>
      </c>
      <c r="G9" s="89">
        <f>(D9-$B$8)*G6-$B$9</f>
      </c>
      <c r="H9" s="89">
        <f>(D9-$B$8)*H6-$B$9</f>
      </c>
      <c r="I9" s="89">
        <f>(D9-$B$8)*I6-$B$9</f>
      </c>
    </row>
    <row r="10" spans="1:9" x14ac:dyDescent="0.25">
      <c r="A10" s="49" t="s">
        <v>218</v>
      </c>
      <c r="B10" s="57">
        <f>(B6-B8)*B7-B9</f>
      </c>
      <c r="D10" s="87">
        <v>1200</v>
      </c>
      <c r="E10" s="98">
        <f>(D10-$B$8)*E6-$B$9</f>
      </c>
      <c r="F10" s="98">
        <f>(D10-$B$8)*F6-$B$9</f>
      </c>
      <c r="G10" s="90">
        <f>(D10-$B$8)*G6-$B$9</f>
      </c>
      <c r="H10" s="98">
        <f>(D10-$B$8)*H6-$B$9</f>
      </c>
      <c r="I10" s="98">
        <f>(D10-$B$8)*I6-$B$9</f>
      </c>
    </row>
    <row r="11" spans="4:9" x14ac:dyDescent="0.25">
      <c r="D11" s="87">
        <v>1300</v>
      </c>
      <c r="E11" s="89">
        <f>(D11-$B$8)*E6-$B$9</f>
      </c>
      <c r="F11" s="89">
        <f>(D11-$B$8)*F6-$B$9</f>
      </c>
      <c r="G11" s="89">
        <f>(D11-$B$8)*G6-$B$9</f>
      </c>
      <c r="H11" s="89">
        <f>(D11-$B$8)*H6-$B$9</f>
      </c>
      <c r="I11" s="89">
        <f>(D11-$B$8)*I6-$B$9</f>
      </c>
    </row>
    <row r="12" spans="4:9" x14ac:dyDescent="0.25">
      <c r="D12" s="87">
        <v>1400</v>
      </c>
      <c r="E12" s="98">
        <f>(D12-$B$8)*E6-$B$9</f>
      </c>
      <c r="F12" s="98">
        <f>(D12-$B$8)*F6-$B$9</f>
      </c>
      <c r="G12" s="98">
        <f>(D12-$B$8)*G6-$B$9</f>
      </c>
      <c r="H12" s="98">
        <f>(D12-$B$8)*H6-$B$9</f>
      </c>
      <c r="I12" s="98">
        <f>(D12-$B$8)*I6-$B$9</f>
      </c>
    </row>
    <row r="13" spans="4:9" x14ac:dyDescent="0.25">
      <c r="D13" s="87">
        <v>1500</v>
      </c>
      <c r="E13" s="89">
        <f>(D13-$B$8)*E6-$B$9</f>
      </c>
      <c r="F13" s="89">
        <f>(D13-$B$8)*F6-$B$9</f>
      </c>
      <c r="G13" s="89">
        <f>(D13-$B$8)*G6-$B$9</f>
      </c>
      <c r="H13" s="89">
        <f>(D13-$B$8)*H6-$B$9</f>
      </c>
      <c r="I13" s="89">
        <f>(D13-$B$8)*I6-$B$9</f>
      </c>
    </row>
  </sheetData>
  <mergeCells count="5">
    <mergeCell ref="A1:B1"/>
    <mergeCell ref="A2:H2"/>
    <mergeCell ref="A3:H3"/>
    <mergeCell ref="A5:B5"/>
    <mergeCell ref="D5:I5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 outlineLevelRow="0" outlineLevelCol="0" x14ac:dyDescent="55"/>
  <cols>
    <col min="1" max="1" width="26" customWidth="1"/>
    <col min="2" max="4" width="18" customWidth="1"/>
    <col min="5" max="5" width="22" customWidth="1"/>
  </cols>
  <sheetData>
    <row r="1" ht="20" customHeight="1" spans="1:2" x14ac:dyDescent="0.25">
      <c r="A1" s="21" t="s">
        <v>107</v>
      </c>
      <c r="B1" s="21"/>
    </row>
    <row r="2" ht="28" customHeight="1" spans="1:8" x14ac:dyDescent="0.25">
      <c r="A2" s="76" t="s">
        <v>219</v>
      </c>
      <c r="B2" s="76"/>
      <c r="C2" s="76"/>
      <c r="D2" s="76"/>
      <c r="E2" s="76"/>
      <c r="F2" s="76"/>
      <c r="G2" s="76"/>
      <c r="H2" s="76"/>
    </row>
    <row r="3" ht="20" customHeight="1" spans="1:8" x14ac:dyDescent="0.25">
      <c r="A3" s="23" t="s">
        <v>220</v>
      </c>
      <c r="B3" s="23"/>
      <c r="C3" s="23"/>
      <c r="D3" s="23"/>
      <c r="E3" s="23"/>
      <c r="F3" s="23"/>
      <c r="G3" s="23"/>
      <c r="H3" s="23"/>
    </row>
    <row r="5" spans="1:4" x14ac:dyDescent="0.25">
      <c r="A5" s="99" t="s">
        <v>221</v>
      </c>
      <c r="B5" s="99"/>
      <c r="C5" s="99"/>
      <c r="D5" s="99"/>
    </row>
    <row r="6" ht="24" customHeight="1" spans="1:4" x14ac:dyDescent="0.25">
      <c r="A6" s="100" t="s">
        <v>222</v>
      </c>
      <c r="B6" s="101" t="s">
        <v>223</v>
      </c>
      <c r="C6" s="101" t="s">
        <v>224</v>
      </c>
      <c r="D6" s="101" t="s">
        <v>225</v>
      </c>
    </row>
    <row r="7" spans="1:4" x14ac:dyDescent="0.25">
      <c r="A7" s="49" t="s">
        <v>226</v>
      </c>
      <c r="B7" s="102">
        <v>1000</v>
      </c>
      <c r="C7" s="102">
        <v>1200</v>
      </c>
      <c r="D7" s="102">
        <v>1450</v>
      </c>
    </row>
    <row r="8" spans="1:4" x14ac:dyDescent="0.25">
      <c r="A8" s="49" t="s">
        <v>227</v>
      </c>
      <c r="B8" s="103">
        <v>7000</v>
      </c>
      <c r="C8" s="103">
        <v>10000</v>
      </c>
      <c r="D8" s="103">
        <v>14000</v>
      </c>
    </row>
    <row r="9" spans="1:4" x14ac:dyDescent="0.25">
      <c r="A9" s="49" t="s">
        <v>228</v>
      </c>
      <c r="B9" s="104">
        <v>0.68</v>
      </c>
      <c r="C9" s="104">
        <v>0.625</v>
      </c>
      <c r="D9" s="104">
        <v>0.55</v>
      </c>
    </row>
    <row r="10" spans="1:4" x14ac:dyDescent="0.25">
      <c r="A10" s="49" t="s">
        <v>229</v>
      </c>
      <c r="B10" s="26">
        <v>2800000</v>
      </c>
      <c r="C10" s="26">
        <v>2500000</v>
      </c>
      <c r="D10" s="26">
        <v>2400000</v>
      </c>
    </row>
    <row r="11" spans="1:4" x14ac:dyDescent="0.25">
      <c r="A11" s="105" t="s">
        <v>230</v>
      </c>
      <c r="B11" s="106">
        <f>B7*B8</f>
      </c>
      <c r="C11" s="106">
        <f>C7*C8</f>
      </c>
      <c r="D11" s="106">
        <f>D7*D8</f>
      </c>
    </row>
    <row r="12" spans="1:4" x14ac:dyDescent="0.25">
      <c r="A12" s="105" t="s">
        <v>231</v>
      </c>
      <c r="B12" s="106">
        <f>(B11*B9)+B10</f>
      </c>
      <c r="C12" s="106">
        <f>(C11*C9)+C10</f>
      </c>
      <c r="D12" s="106">
        <f>(D11*D9)+D10</f>
      </c>
    </row>
    <row r="13" spans="1:4" x14ac:dyDescent="0.25">
      <c r="A13" s="105" t="s">
        <v>232</v>
      </c>
      <c r="B13" s="107">
        <f>B11-B12</f>
      </c>
      <c r="C13" s="107">
        <f>C11-C12</f>
      </c>
      <c r="D13" s="107">
        <f>D11-D12</f>
      </c>
    </row>
  </sheetData>
  <mergeCells count="4">
    <mergeCell ref="A1:B1"/>
    <mergeCell ref="A2:H2"/>
    <mergeCell ref="A3:H3"/>
    <mergeCell ref="A5:D5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 outlineLevelRow="0" outlineLevelCol="0" x14ac:dyDescent="55"/>
  <cols>
    <col min="1" max="1" width="26" customWidth="1"/>
    <col min="2" max="2" width="18" customWidth="1"/>
    <col min="3" max="3" width="4" customWidth="1"/>
    <col min="4" max="4" width="36" customWidth="1"/>
  </cols>
  <sheetData>
    <row r="1" ht="20" customHeight="1" spans="1:2" x14ac:dyDescent="0.25">
      <c r="A1" s="21" t="s">
        <v>107</v>
      </c>
      <c r="B1" s="21"/>
    </row>
    <row r="2" ht="28" customHeight="1" spans="1:8" x14ac:dyDescent="0.25">
      <c r="A2" s="60" t="s">
        <v>233</v>
      </c>
      <c r="B2" s="60"/>
      <c r="C2" s="60"/>
      <c r="D2" s="60"/>
      <c r="E2" s="60"/>
      <c r="F2" s="60"/>
      <c r="G2" s="60"/>
      <c r="H2" s="60"/>
    </row>
    <row r="3" ht="20" customHeight="1" spans="1:8" x14ac:dyDescent="0.25">
      <c r="A3" s="23" t="s">
        <v>234</v>
      </c>
      <c r="B3" s="23"/>
      <c r="C3" s="23"/>
      <c r="D3" s="23"/>
      <c r="E3" s="23"/>
      <c r="F3" s="23"/>
      <c r="G3" s="23"/>
      <c r="H3" s="23"/>
    </row>
    <row r="5" spans="1:2" x14ac:dyDescent="0.25">
      <c r="A5" s="61" t="s">
        <v>235</v>
      </c>
      <c r="B5" s="61"/>
    </row>
    <row r="6" spans="1:4" x14ac:dyDescent="0.25">
      <c r="A6" s="49" t="s">
        <v>184</v>
      </c>
      <c r="B6" s="108">
        <v>2500</v>
      </c>
      <c r="D6" s="109" t="s">
        <v>236</v>
      </c>
    </row>
    <row r="7" spans="1:4" x14ac:dyDescent="0.25">
      <c r="A7" s="49" t="s">
        <v>217</v>
      </c>
      <c r="B7" s="108">
        <v>1200</v>
      </c>
      <c r="D7" s="109"/>
    </row>
    <row r="8" spans="1:4" x14ac:dyDescent="0.25">
      <c r="A8" s="49" t="s">
        <v>188</v>
      </c>
      <c r="B8" s="110">
        <v>15000000</v>
      </c>
      <c r="D8" s="109"/>
    </row>
    <row r="9" spans="1:4" x14ac:dyDescent="0.25">
      <c r="A9" s="49" t="s">
        <v>237</v>
      </c>
      <c r="B9" s="111">
        <v>8000</v>
      </c>
      <c r="D9" s="109"/>
    </row>
    <row r="10" spans="1:4" x14ac:dyDescent="0.25">
      <c r="A10" s="105" t="s">
        <v>238</v>
      </c>
      <c r="B10" s="107">
        <f>((B6-B7)*B9)-B8</f>
      </c>
      <c r="D10" s="109"/>
    </row>
    <row r="11" spans="1:4" x14ac:dyDescent="0.25">
      <c r="A11" s="105" t="s">
        <v>239</v>
      </c>
      <c r="B11" s="106">
        <v>0</v>
      </c>
      <c r="D11" s="109"/>
    </row>
    <row r="12" spans="1:4" x14ac:dyDescent="0.25">
      <c r="A12" s="105" t="s">
        <v>240</v>
      </c>
      <c r="B12" s="112">
        <f>B8/(B6-B7)</f>
      </c>
      <c r="D12" s="109"/>
    </row>
  </sheetData>
  <mergeCells count="5">
    <mergeCell ref="A1:B1"/>
    <mergeCell ref="A2:H2"/>
    <mergeCell ref="A3:H3"/>
    <mergeCell ref="A5:B5"/>
    <mergeCell ref="D6:D12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Overview</vt:lpstr>
      <vt:lpstr>Ex1_Loan_Interest_EMI</vt:lpstr>
      <vt:lpstr>Ex2_Multi_Output_EMI</vt:lpstr>
      <vt:lpstr>Ex3_BreakEven_Production</vt:lpstr>
      <vt:lpstr>Ex4_Capex_WACC_NPV</vt:lpstr>
      <vt:lpstr>Ex5_RealEstate_Occupancy</vt:lpstr>
      <vt:lpstr>Ex6_Multi_Output_FX</vt:lpstr>
      <vt:lpstr>Ex7_Row_Oriented_Table</vt:lpstr>
      <vt:lpstr>Ex8_Performance_Tuning</vt:lpstr>
      <vt:lpstr>Ex9_Two_Var_Price_Volume</vt:lpstr>
      <vt:lpstr>Ex10_Scenario_Manager</vt:lpstr>
      <vt:lpstr>Ex11_Goal_Seek_BreakEven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Sukanta Hui - Coder &amp; AccoTax</dc:creator>
  <dc:title/>
  <dc:subject/>
  <dc:description/>
  <cp:keywords/>
  <cp:category/>
  <cp:lastModifiedBy>Sukanta Hui</cp:lastModifiedBy>
  <dcterms:created xsi:type="dcterms:W3CDTF">2026-10-01T10:01:14Z</dcterms:created>
  <dcterms:modified xsi:type="dcterms:W3CDTF">2026-10-01T10:01:14Z</dcterms:modified>
</cp:coreProperties>
</file>