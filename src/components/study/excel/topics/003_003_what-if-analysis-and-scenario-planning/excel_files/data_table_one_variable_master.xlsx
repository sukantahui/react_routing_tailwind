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Overview_Instructions" sheetId="1" r:id="rId1"/>
    <sheet name="Ex1_Loan_Interest_EMI" sheetId="2" r:id="rId2"/>
    <sheet name="Ex2_Product_Pricing_Margin" sheetId="3" r:id="rId3"/>
    <sheet name="Ex3_BreakEven_Production" sheetId="4" r:id="rId4"/>
    <sheet name="Ex4_Capex_WACC_NPV" sheetId="5" r:id="rId5"/>
    <sheet name="Ex5_RealEstate_Occupancy" sheetId="6" r:id="rId6"/>
    <sheet name="Ex6_Multi_Output_FX" sheetId="7" r:id="rId7"/>
    <sheet name="Ex7_Row_Oriented_Table" sheetId="8" r:id="rId8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4">
    <numFmt numFmtId="56" formatCode="&quot;上午/下午 &quot;hh&quot;時&quot;mm&quot;分&quot;ss&quot;秒 &quot;"/>
    <numFmt numFmtId="60" formatCode="₹#,##0.00"/>
    <numFmt numFmtId="61" formatCode="0.00x"/>
    <numFmt numFmtId="62" formatCode="$#,##0.0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 applyNumberFormat="1"/>
    <xf numFmtId="60" fontId="0" fillId="0" borderId="0" xfId="0" applyNumberFormat="1"/>
    <xf numFmtId="10" fontId="0" fillId="0" borderId="0" xfId="0" applyNumberFormat="1"/>
    <xf numFmtId="1" fontId="0" fillId="0" borderId="0" xfId="0" applyNumberFormat="1"/>
    <xf numFmtId="3" fontId="0" fillId="0" borderId="0" xfId="0" applyNumberFormat="1"/>
    <xf numFmtId="61" fontId="0" fillId="0" borderId="0" xfId="0" applyNumberFormat="1"/>
    <xf numFmtId="62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33"/>
  <sheetViews>
    <sheetView workbookViewId="0"/>
  </sheetViews>
  <sheetData>
    <row r="1">
      <c r="A1" t="str">
        <v>EXCEL WHAT-IF SENSITIVITY SUITE: ONE-VARIABLE DATA TABLES</v>
      </c>
      <c r="B1" t="str">
        <v/>
      </c>
      <c r="C1" t="str">
        <v/>
      </c>
      <c r="D1" t="str">
        <v/>
      </c>
      <c r="E1" t="str">
        <v/>
      </c>
      <c r="F1" t="str">
        <v/>
      </c>
    </row>
    <row r="2">
      <c r="A2" t="str">
        <v>Professional Sensitivity &amp; Scenario Planning Suite with Live Formulas</v>
      </c>
      <c r="B2" t="str">
        <v/>
      </c>
      <c r="C2" t="str">
        <v/>
      </c>
      <c r="D2" t="str">
        <v/>
      </c>
      <c r="E2" t="str">
        <v/>
      </c>
      <c r="F2" t="str">
        <v/>
      </c>
    </row>
    <row r="3">
      <c r="A3" t="str">
        <v>Accreditation: Coder &amp; AccoTax Centre of Excellence | Master Instructor: Sukanta Hui</v>
      </c>
      <c r="B3" t="str">
        <v/>
      </c>
      <c r="C3" t="str">
        <v/>
      </c>
      <c r="D3" t="str">
        <v/>
      </c>
      <c r="E3" t="str">
        <v/>
      </c>
      <c r="F3" t="str">
        <v/>
      </c>
    </row>
    <row r="4">
      <c r="A4" t="str">
        <v/>
      </c>
      <c r="B4" t="str">
        <v/>
      </c>
      <c r="C4" t="str">
        <v/>
      </c>
      <c r="D4" t="str">
        <v/>
      </c>
      <c r="E4" t="str">
        <v/>
      </c>
      <c r="F4" t="str">
        <v/>
      </c>
    </row>
    <row r="5">
      <c r="A5" t="str">
        <v>1. WHAT IS A ONE-VARIABLE DATA TABLE?</v>
      </c>
      <c r="B5" t="str">
        <v/>
      </c>
      <c r="C5" t="str">
        <v/>
      </c>
      <c r="D5" t="str">
        <v/>
      </c>
      <c r="E5" t="str">
        <v/>
      </c>
      <c r="F5" t="str">
        <v/>
      </c>
    </row>
    <row r="6">
      <c r="A6" t="str">
        <v>A One-Variable Data Table is a native Excel sensitivity engine that tests how varying a single parameter (interest rate, unit price, production volume, discount rate, or forex rate) impacts one or more dependent calculation formulas simultaneously.</v>
      </c>
      <c r="B6" t="str">
        <v/>
      </c>
      <c r="C6" t="str">
        <v/>
      </c>
      <c r="D6" t="str">
        <v/>
      </c>
      <c r="E6" t="str">
        <v/>
      </c>
      <c r="F6" t="str">
        <v/>
      </c>
    </row>
    <row r="7">
      <c r="A7" t="str">
        <v/>
      </c>
      <c r="B7" t="str">
        <v/>
      </c>
      <c r="C7" t="str">
        <v/>
      </c>
      <c r="D7" t="str">
        <v/>
      </c>
      <c r="E7" t="str">
        <v/>
      </c>
      <c r="F7" t="str">
        <v/>
      </c>
    </row>
    <row r="8">
      <c r="A8" t="str">
        <v>2. STRATEGIC IMPORTANCE IN FINANCIAL MODELING:</v>
      </c>
      <c r="B8" t="str">
        <v/>
      </c>
      <c r="C8" t="str">
        <v/>
      </c>
      <c r="D8" t="str">
        <v/>
      </c>
      <c r="E8" t="str">
        <v/>
      </c>
      <c r="F8" t="str">
        <v/>
      </c>
    </row>
    <row r="9">
      <c r="A9" t="str">
        <v>• High-Speed Sensitivity Testing: Replaces manual re-entry of 15 scenarios with an automated instantaneous pass.</v>
      </c>
      <c r="B9" t="str">
        <v/>
      </c>
      <c r="C9" t="str">
        <v/>
      </c>
      <c r="D9" t="str">
        <v/>
      </c>
      <c r="E9" t="str">
        <v/>
      </c>
      <c r="F9" t="str">
        <v/>
      </c>
    </row>
    <row r="10">
      <c r="A10" t="str">
        <v>• Non-Destructive Shadow Calculation: Evaluates formula outcomes in shadow memory without altering or corrupting base model input cells.</v>
      </c>
      <c r="B10" t="str">
        <v/>
      </c>
      <c r="C10" t="str">
        <v/>
      </c>
      <c r="D10" t="str">
        <v/>
      </c>
      <c r="E10" t="str">
        <v/>
      </c>
      <c r="F10" t="str">
        <v/>
      </c>
    </row>
    <row r="11">
      <c r="A11" t="str">
        <v>• Multi-Output Parallelism: A single input list can drive unlimited parallel output columns (e.g. Monthly EMI, Total Outflow, Net Margin, and DSCR).</v>
      </c>
      <c r="B11" t="str">
        <v/>
      </c>
      <c r="C11" t="str">
        <v/>
      </c>
      <c r="D11" t="str">
        <v/>
      </c>
      <c r="E11" t="str">
        <v/>
      </c>
      <c r="F11" t="str">
        <v/>
      </c>
    </row>
    <row r="12">
      <c r="A12" t="str">
        <v>• Dynamic Model Coupling: When base model parameters update (e.g. Principal increases from ₹50L to ₹75L), the entire sensitivity table recalculates in real time.</v>
      </c>
      <c r="B12" t="str">
        <v/>
      </c>
      <c r="C12" t="str">
        <v/>
      </c>
      <c r="D12" t="str">
        <v/>
      </c>
      <c r="E12" t="str">
        <v/>
      </c>
      <c r="F12" t="str">
        <v/>
      </c>
    </row>
    <row r="13">
      <c r="A13" t="str">
        <v>• Anti-Sprawl Architecture: Prevents the bad habit of creating 10 separate duplicate tabs just to test 10 scenarios.</v>
      </c>
      <c r="B13" t="str">
        <v/>
      </c>
      <c r="C13" t="str">
        <v/>
      </c>
      <c r="D13" t="str">
        <v/>
      </c>
      <c r="E13" t="str">
        <v/>
      </c>
      <c r="F13" t="str">
        <v/>
      </c>
    </row>
    <row r="14">
      <c r="A14" t="str">
        <v/>
      </c>
      <c r="B14" t="str">
        <v/>
      </c>
      <c r="C14" t="str">
        <v/>
      </c>
      <c r="D14" t="str">
        <v/>
      </c>
      <c r="E14" t="str">
        <v/>
      </c>
      <c r="F14" t="str">
        <v/>
      </c>
    </row>
    <row r="15">
      <c r="A15" t="str">
        <v>3. HOW TO CONSTRUCT IN MICROSOFT EXCEL (PRACTICE STEPS):</v>
      </c>
      <c r="B15" t="str">
        <v/>
      </c>
      <c r="C15" t="str">
        <v/>
      </c>
      <c r="D15" t="str">
        <v/>
      </c>
      <c r="E15" t="str">
        <v/>
      </c>
      <c r="F15" t="str">
        <v/>
      </c>
    </row>
    <row r="16">
      <c r="A16" t="str">
        <v>Step 1: Check the Base Financial Model in Columns A:C (Cells B5:B11). All calculation rows have live formulas!</v>
      </c>
      <c r="B16" t="str">
        <v/>
      </c>
      <c r="C16" t="str">
        <v/>
      </c>
      <c r="D16" t="str">
        <v/>
      </c>
      <c r="E16" t="str">
        <v/>
      </c>
      <c r="F16" t="str">
        <v/>
      </c>
    </row>
    <row r="17">
      <c r="A17" t="str">
        <v>Step 2: Notice the Sensitivity Table in Columns E:H. The header row (F5, G5, H5) links directly to =B9, =B10, =B11.</v>
      </c>
      <c r="B17" t="str">
        <v/>
      </c>
      <c r="C17" t="str">
        <v/>
      </c>
      <c r="D17" t="str">
        <v/>
      </c>
      <c r="E17" t="str">
        <v/>
      </c>
      <c r="F17" t="str">
        <v/>
      </c>
    </row>
    <row r="18">
      <c r="A18" t="str">
        <v>Step 3: To practice applying the Data Table command yourself:</v>
      </c>
      <c r="B18" t="str">
        <v/>
      </c>
      <c r="C18" t="str">
        <v/>
      </c>
      <c r="D18" t="str">
        <v/>
      </c>
      <c r="E18" t="str">
        <v/>
      </c>
      <c r="F18" t="str">
        <v/>
      </c>
    </row>
    <row r="19">
      <c r="A19" t="str">
        <v xml:space="preserve">        a. Select range E5:H16 (both input rates and header formulas).</v>
      </c>
      <c r="B19" t="str">
        <v/>
      </c>
      <c r="C19" t="str">
        <v/>
      </c>
      <c r="D19" t="str">
        <v/>
      </c>
      <c r="E19" t="str">
        <v/>
      </c>
      <c r="F19" t="str">
        <v/>
      </c>
    </row>
    <row r="20">
      <c r="A20" t="str">
        <v xml:space="preserve">        b. Go to Ribbon &gt; Data Tab &gt; What-If Analysis &gt; Data Table (Shortcut: Alt + A + W + T).</v>
      </c>
      <c r="B20" t="str">
        <v/>
      </c>
      <c r="C20" t="str">
        <v/>
      </c>
      <c r="D20" t="str">
        <v/>
      </c>
      <c r="E20" t="str">
        <v/>
      </c>
      <c r="F20" t="str">
        <v/>
      </c>
    </row>
    <row r="21">
      <c r="A21" t="str">
        <v xml:space="preserve">        c. Leave 'Row input cell' BLANK.</v>
      </c>
      <c r="B21" t="str">
        <v/>
      </c>
      <c r="C21" t="str">
        <v/>
      </c>
      <c r="D21" t="str">
        <v/>
      </c>
      <c r="E21" t="str">
        <v/>
      </c>
      <c r="F21" t="str">
        <v/>
      </c>
    </row>
    <row r="22">
      <c r="A22" t="str">
        <v xml:space="preserve">        d. In 'Column input cell', select $B$6 (Annual Interest Rate). Click OK!</v>
      </c>
      <c r="B22" t="str">
        <v/>
      </c>
      <c r="C22" t="str">
        <v/>
      </c>
      <c r="D22" t="str">
        <v/>
      </c>
      <c r="E22" t="str">
        <v/>
      </c>
      <c r="F22" t="str">
        <v/>
      </c>
    </row>
    <row r="23">
      <c r="A23" t="str">
        <v>Step 4: Pro Tip: Format cells F5, G5, H5 as Custom: ;;;"Header Name" to mask the raw numbers with clean titles!</v>
      </c>
      <c r="B23" t="str">
        <v/>
      </c>
      <c r="C23" t="str">
        <v/>
      </c>
      <c r="D23" t="str">
        <v/>
      </c>
      <c r="E23" t="str">
        <v/>
      </c>
      <c r="F23" t="str">
        <v/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</row>
    <row r="25">
      <c r="A25" t="str">
        <v>4. WORKBOOK DIRECTORY:</v>
      </c>
      <c r="B25" t="str">
        <v/>
      </c>
      <c r="C25" t="str">
        <v/>
      </c>
      <c r="D25" t="str">
        <v/>
      </c>
      <c r="E25" t="str">
        <v/>
      </c>
      <c r="F25" t="str">
        <v/>
      </c>
    </row>
    <row r="26">
      <c r="A26" t="str">
        <v>Sheet Name</v>
      </c>
      <c r="B26" t="str">
        <v>Domain Area</v>
      </c>
      <c r="C26" t="str">
        <v>Scenario Input Target</v>
      </c>
      <c r="D26" t="str">
        <v>Output Formulas Linked</v>
      </c>
      <c r="E26" t="str">
        <v>Target Array Syntax</v>
      </c>
    </row>
    <row r="27">
      <c r="A27" t="str">
        <v>Ex1_Loan_Interest_EMI</v>
      </c>
      <c r="B27" t="str">
        <v>Debt Financing</v>
      </c>
      <c r="C27" t="str">
        <v>B6 (Annual Rate 8.50%)</v>
      </c>
      <c r="D27" t="str">
        <v>=B9 (EMI), =B10 (Outflow), =B11 (Interest)</v>
      </c>
      <c r="E27" t="str">
        <v>{=TABLE(, B6)}</v>
      </c>
    </row>
    <row r="28">
      <c r="A28" t="str">
        <v>Ex2_Product_Pricing_Margin</v>
      </c>
      <c r="B28" t="str">
        <v>Pricing Strategy</v>
      </c>
      <c r="C28" t="str">
        <v>B5 (Selling Price ₹1,200)</v>
      </c>
      <c r="D28" t="str">
        <v>=B10 (Revenue), =B11 (Total Cost), =B12 (Profit)</v>
      </c>
      <c r="E28" t="str">
        <v>{=TABLE(, B5)}</v>
      </c>
    </row>
    <row r="29">
      <c r="A29" t="str">
        <v>Ex3_BreakEven_Production</v>
      </c>
      <c r="B29" t="str">
        <v>Cost Accounting</v>
      </c>
      <c r="C29" t="str">
        <v>B8 (Units 15,000)</v>
      </c>
      <c r="D29" t="str">
        <v>=B9 (Contribution), =B10 (Overhead), =B11 (EBIT)</v>
      </c>
      <c r="E29" t="str">
        <v>{=TABLE(, B8)}</v>
      </c>
    </row>
    <row r="30">
      <c r="A30" t="str">
        <v>Ex4_Capex_WACC_NPV</v>
      </c>
      <c r="B30" t="str">
        <v>Corporate Finance</v>
      </c>
      <c r="C30" t="str">
        <v>B12 (WACC 12.00%)</v>
      </c>
      <c r="D30" t="str">
        <v>=B13 (5-Year Project NPV with 21.4% IRR)</v>
      </c>
      <c r="E30" t="str">
        <v>{=TABLE(, B12)}</v>
      </c>
    </row>
    <row r="31">
      <c r="A31" t="str">
        <v>Ex5_RealEstate_Occupancy</v>
      </c>
      <c r="B31" t="str">
        <v>Asset Management</v>
      </c>
      <c r="C31" t="str">
        <v>B7 (Occupancy 85.0%)</v>
      </c>
      <c r="D31" t="str">
        <v>=B9 (Rental Income), =B11 (NOI), =B13 (DSCR)</v>
      </c>
      <c r="E31" t="str">
        <v>{=TABLE(, B7)}</v>
      </c>
    </row>
    <row r="32">
      <c r="A32" t="str">
        <v>Ex6_Multi_Output_FX</v>
      </c>
      <c r="B32" t="str">
        <v>Global Treasury</v>
      </c>
      <c r="C32" t="str">
        <v>B8 (USD/INR 84.50)</v>
      </c>
      <c r="D32" t="str">
        <v>=B9 (Landed Cost), =B10 (Revenue), =B11 (Margin)</v>
      </c>
      <c r="E32" t="str">
        <v>{=TABLE(, B8)}</v>
      </c>
    </row>
    <row r="33">
      <c r="A33" t="str">
        <v>Ex7_Row_Oriented_Table</v>
      </c>
      <c r="B33" t="str">
        <v>Corporate Planning</v>
      </c>
      <c r="C33" t="str">
        <v>B6 (Growth Rate 6.0%)</v>
      </c>
      <c r="D33" t="str">
        <v>=B11 (EBITDA in Leading Column D5)</v>
      </c>
      <c r="E33" t="str">
        <v>{=TABLE(B6, )}</v>
      </c>
    </row>
  </sheetData>
  <ignoredErrors>
    <ignoredError numberStoredAsText="1" sqref="A1:F3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L18"/>
  <sheetViews>
    <sheetView workbookViewId="0"/>
  </sheetViews>
  <sheetData>
    <row r="1">
      <c r="A1" t="str">
        <v>EXAMPLE 1: COMMERCIAL TERM LOAN INTEREST RATE SENSITIVITY TABLE</v>
      </c>
    </row>
    <row r="2">
      <c r="A2" t="str">
        <v>Evaluating Monthly EMI, Total Outflow, and Lifetime Interest across 10 Rate Scenarios (7.0% to 12.0%)</v>
      </c>
    </row>
    <row r="4">
      <c r="A4" t="str">
        <v>BASE LOAN MODEL (INPUTS &amp; FORMULAS)</v>
      </c>
      <c r="B4" t="str">
        <v>Value / Formula</v>
      </c>
      <c r="C4" t="str">
        <v>Unit / Cell Ref</v>
      </c>
      <c r="E4" t="str">
        <v>SENSITIVITY DATA TABLE</v>
      </c>
      <c r="J4" t="str">
        <v>FORMULA INSPECTOR &amp; AUDIT MAP</v>
      </c>
    </row>
    <row r="5">
      <c r="A5" t="str">
        <v>Loan Principal Amount (₹)</v>
      </c>
      <c r="B5" s="1">
        <v>5000000</v>
      </c>
      <c r="C5" t="str">
        <v>INR (Principal in B5)</v>
      </c>
      <c r="E5" t="str">
        <v>Rate_Scenario</v>
      </c>
      <c r="F5" s="1">
        <f>B9</f>
        <v>43391.13</v>
      </c>
      <c r="G5" s="1">
        <f>B10</f>
        <v>10413871.2</v>
      </c>
      <c r="H5" s="1">
        <f>B11</f>
        <v>5413871.2</v>
      </c>
      <c r="J5" t="str">
        <v>Coordinate</v>
      </c>
      <c r="K5" t="str">
        <v>Formula String</v>
      </c>
      <c r="L5" t="str">
        <v>Business Purpose</v>
      </c>
    </row>
    <row r="6">
      <c r="A6" t="str">
        <v>Annual Interest Rate (%)</v>
      </c>
      <c r="B6" s="2">
        <v>0.085</v>
      </c>
      <c r="C6" t="str">
        <v>Annual % (BASE INPUT in B6)</v>
      </c>
      <c r="E6" s="2">
        <v>0.07</v>
      </c>
      <c r="F6" s="1">
        <v>38764.95</v>
      </c>
      <c r="G6" s="1">
        <v>9303587.23</v>
      </c>
      <c r="H6" s="1">
        <v>4303587.23</v>
      </c>
      <c r="J6" t="str">
        <v>B8</v>
      </c>
      <c r="K6" t="str">
        <v>=B7*12</v>
      </c>
      <c r="L6" t="str">
        <v>Calculates total monthly payment periods (240 mths)</v>
      </c>
    </row>
    <row r="7">
      <c r="A7" t="str">
        <v>Loan Tenure (Years)</v>
      </c>
      <c r="B7" s="3">
        <v>20</v>
      </c>
      <c r="C7" t="str">
        <v>Years (Tenure in B7)</v>
      </c>
      <c r="E7" s="2">
        <v>0.075</v>
      </c>
      <c r="F7" s="1">
        <v>40279.66</v>
      </c>
      <c r="G7" s="1">
        <v>9667118.32</v>
      </c>
      <c r="H7" s="1">
        <v>4667118.32</v>
      </c>
      <c r="J7" t="str">
        <v>B9</v>
      </c>
      <c r="K7" t="str">
        <v>=PMT(B6/12, B8, -B5)</v>
      </c>
      <c r="L7" t="str">
        <v>Calculates monthly debt service installment (₹43,391.13)</v>
      </c>
    </row>
    <row r="8">
      <c r="A8" t="str">
        <v>Loan Tenure (Months)</v>
      </c>
      <c r="B8" s="3">
        <f>B7*12</f>
        <v>240</v>
      </c>
      <c r="C8" t="str">
        <v>=B7*12</v>
      </c>
      <c r="E8" s="2">
        <v>0.08</v>
      </c>
      <c r="F8" s="1">
        <v>41822</v>
      </c>
      <c r="G8" s="1">
        <v>10037280.83</v>
      </c>
      <c r="H8" s="1">
        <v>5037280.83</v>
      </c>
      <c r="J8" t="str">
        <v>B10</v>
      </c>
      <c r="K8" t="str">
        <v>=B9*B8</v>
      </c>
      <c r="L8" t="str">
        <v>Calculates total cash outflow over 20 years (₹1.04 Cr)</v>
      </c>
    </row>
    <row r="9">
      <c r="A9" t="str">
        <v>Monthly EMI Outflow (₹)</v>
      </c>
      <c r="B9" s="1">
        <f>PMT(B6/12, B8, -B5)</f>
        <v>43391.13</v>
      </c>
      <c r="C9" t="str">
        <v>=PMT(B6/12, B8, -B5)</v>
      </c>
      <c r="E9" s="2">
        <v>0.085</v>
      </c>
      <c r="F9" s="1">
        <v>43391.16</v>
      </c>
      <c r="G9" s="1">
        <v>10413878.8</v>
      </c>
      <c r="H9" s="1">
        <v>5413878.8</v>
      </c>
      <c r="J9" t="str">
        <v>B11</v>
      </c>
      <c r="K9" t="str">
        <v>=B10-B5</v>
      </c>
      <c r="L9" t="str">
        <v>Calculates lifetime cumulative interest cost (₹54.13 Lakh)</v>
      </c>
    </row>
    <row r="10">
      <c r="A10" t="str">
        <v>Total Loan Outflow (₹)</v>
      </c>
      <c r="B10" s="1">
        <f>B9*B8</f>
        <v>10413871.2</v>
      </c>
      <c r="C10" t="str">
        <v>=B9*B8</v>
      </c>
      <c r="E10" s="2">
        <v>0.09</v>
      </c>
      <c r="F10" s="1">
        <v>44986.3</v>
      </c>
      <c r="G10" s="1">
        <v>10796711.47</v>
      </c>
      <c r="H10" s="1">
        <v>5796711.47</v>
      </c>
      <c r="J10" t="str">
        <v>F5</v>
      </c>
      <c r="K10" t="str">
        <v>=B9</v>
      </c>
      <c r="L10" t="str">
        <v>Header link to Monthly EMI (masked with ;;;"Monthly EMI")</v>
      </c>
    </row>
    <row r="11">
      <c r="A11" t="str">
        <v>Total Interest Paid (₹)</v>
      </c>
      <c r="B11" s="1">
        <f>B10-B5</f>
        <v>5413871.2</v>
      </c>
      <c r="C11" t="str">
        <v>=B10-B5</v>
      </c>
      <c r="E11" s="2">
        <v>0.095</v>
      </c>
      <c r="F11" s="1">
        <v>46606.56</v>
      </c>
      <c r="G11" s="1">
        <v>11185574.25</v>
      </c>
      <c r="H11" s="1">
        <v>6185574.25</v>
      </c>
      <c r="J11" t="str">
        <v>G5</v>
      </c>
      <c r="K11" t="str">
        <v>=B10</v>
      </c>
      <c r="L11" t="str">
        <v>Header link to Total Payment (masked with ;;;"Total Payment")</v>
      </c>
    </row>
    <row r="12">
      <c r="E12" s="2">
        <v>0.1</v>
      </c>
      <c r="F12" s="1">
        <v>48251.08</v>
      </c>
      <c r="G12" s="1">
        <v>11580259.74</v>
      </c>
      <c r="H12" s="1">
        <v>6580259.74</v>
      </c>
      <c r="J12" t="str">
        <v>H5</v>
      </c>
      <c r="K12" t="str">
        <v>=B11</v>
      </c>
      <c r="L12" t="str">
        <v>Header link to Total Interest (masked with ;;;"Total Interest")</v>
      </c>
    </row>
    <row r="13">
      <c r="E13" s="2">
        <v>0.105</v>
      </c>
      <c r="F13" s="1">
        <v>49918.99</v>
      </c>
      <c r="G13" s="1">
        <v>11980558.64</v>
      </c>
      <c r="H13" s="1">
        <v>6980558.64</v>
      </c>
      <c r="J13" t="str">
        <v>F6:H16</v>
      </c>
      <c r="K13" t="str">
        <v>{=TABLE(, B6)}</v>
      </c>
      <c r="L13" t="str">
        <v>Iterates Column E rates into cell B6 to calculate output matrix</v>
      </c>
    </row>
    <row r="14">
      <c r="E14" s="2">
        <v>0.11</v>
      </c>
      <c r="F14" s="1">
        <v>51609.42</v>
      </c>
      <c r="G14" s="1">
        <v>12386260.71</v>
      </c>
      <c r="H14" s="1">
        <v>7386260.71</v>
      </c>
    </row>
    <row r="15">
      <c r="E15" s="2">
        <v>0.115</v>
      </c>
      <c r="F15" s="1">
        <v>53321.48</v>
      </c>
      <c r="G15" s="1">
        <v>12797155.58</v>
      </c>
      <c r="H15" s="1">
        <v>7797155.58</v>
      </c>
    </row>
    <row r="16">
      <c r="E16" s="2">
        <v>0.12</v>
      </c>
      <c r="F16" s="1">
        <v>55054.31</v>
      </c>
      <c r="G16" s="1">
        <v>13213033.6</v>
      </c>
      <c r="H16" s="1">
        <v>8213033.6</v>
      </c>
    </row>
  </sheetData>
  <ignoredErrors>
    <ignoredError numberStoredAsText="1" sqref="A1:L18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L16"/>
  <sheetViews>
    <sheetView workbookViewId="0"/>
  </sheetViews>
  <sheetData>
    <row r="1">
      <c r="A1" t="str">
        <v>EXAMPLE 2: PRODUCT UNIT SELLING PRICE VS OPERATING PROFIT MARGIN</v>
      </c>
    </row>
    <row r="2">
      <c r="A2" t="str">
        <v>Testing Selling Prices ₹800 to ₹1,600 on Gross Revenue, COGS, and Net Operating Margin</v>
      </c>
    </row>
    <row r="4">
      <c r="A4" t="str">
        <v>BASE PRICING &amp; COST MODEL</v>
      </c>
      <c r="B4" t="str">
        <v>Model Value</v>
      </c>
      <c r="C4" t="str">
        <v>Formula / Reference</v>
      </c>
      <c r="E4" t="str">
        <v>PRICING SENSITIVITY TABLE</v>
      </c>
      <c r="J4" t="str">
        <v>FORMULA INSPECTOR</v>
      </c>
    </row>
    <row r="5">
      <c r="A5" t="str">
        <v>Unit Selling Price (₹)</v>
      </c>
      <c r="B5" s="1">
        <v>1200</v>
      </c>
      <c r="C5" t="str">
        <v>INR / Unit (BASE INPUT in B5)</v>
      </c>
      <c r="E5" t="str">
        <v>Selling_Price</v>
      </c>
      <c r="F5" s="1">
        <f>B10</f>
        <v>12000000</v>
      </c>
      <c r="G5" s="1">
        <f>B11</f>
        <v>9000000</v>
      </c>
      <c r="H5" s="1">
        <f>B12</f>
        <v>3000000</v>
      </c>
      <c r="J5" t="str">
        <v>Coordinate</v>
      </c>
      <c r="K5" t="str">
        <v>Formula String</v>
      </c>
      <c r="L5" t="str">
        <v>Business Logic</v>
      </c>
    </row>
    <row r="6">
      <c r="A6" t="str">
        <v>Sales Volume (Units)</v>
      </c>
      <c r="B6" s="4">
        <v>10000</v>
      </c>
      <c r="C6" t="str">
        <v>Units Sold (B6)</v>
      </c>
      <c r="E6" s="1">
        <v>800</v>
      </c>
      <c r="F6" s="1">
        <v>8000000</v>
      </c>
      <c r="G6" s="1">
        <v>9000000</v>
      </c>
      <c r="H6" s="1">
        <v>-1000000</v>
      </c>
      <c r="J6" t="str">
        <v>B8</v>
      </c>
      <c r="K6" t="str">
        <v>=B6*B7</v>
      </c>
      <c r="L6" t="str">
        <v>Calculates variable manufacturing cost at volume</v>
      </c>
    </row>
    <row r="7">
      <c r="A7" t="str">
        <v>Variable Cost / Unit (₹)</v>
      </c>
      <c r="B7" s="1">
        <v>650</v>
      </c>
      <c r="C7" t="str">
        <v>INR / Unit (B7)</v>
      </c>
      <c r="E7" s="1">
        <v>900</v>
      </c>
      <c r="F7" s="1">
        <v>9000000</v>
      </c>
      <c r="G7" s="1">
        <v>9000000</v>
      </c>
      <c r="H7" s="1">
        <v>0</v>
      </c>
      <c r="J7" t="str">
        <v>B10</v>
      </c>
      <c r="K7" t="str">
        <v>=B5*B6</v>
      </c>
      <c r="L7" t="str">
        <v>Calculates gross top-line commercial turnover</v>
      </c>
    </row>
    <row r="8">
      <c r="A8" t="str">
        <v>Total Variable COGS (₹)</v>
      </c>
      <c r="B8" s="1">
        <f>B6*B7</f>
        <v>6500000</v>
      </c>
      <c r="C8" t="str">
        <v>=B6*B7</v>
      </c>
      <c r="E8" s="1">
        <v>1000</v>
      </c>
      <c r="F8" s="1">
        <v>10000000</v>
      </c>
      <c r="G8" s="1">
        <v>9000000</v>
      </c>
      <c r="H8" s="1">
        <v>1000000</v>
      </c>
      <c r="J8" t="str">
        <v>B11</v>
      </c>
      <c r="K8" t="str">
        <v>=B8+B9</v>
      </c>
      <c r="L8" t="str">
        <v>Calculates total operating expense structure</v>
      </c>
    </row>
    <row r="9">
      <c r="A9" t="str">
        <v>Fixed Operating Overhead (₹)</v>
      </c>
      <c r="B9" s="1">
        <v>2500000</v>
      </c>
      <c r="C9" t="str">
        <v>INR (B9)</v>
      </c>
      <c r="E9" s="1">
        <v>1100</v>
      </c>
      <c r="F9" s="1">
        <v>11000000</v>
      </c>
      <c r="G9" s="1">
        <v>9000000</v>
      </c>
      <c r="H9" s="1">
        <v>2000000</v>
      </c>
      <c r="J9" t="str">
        <v>B12</v>
      </c>
      <c r="K9" t="str">
        <v>=B10-B11</v>
      </c>
      <c r="L9" t="str">
        <v>Calculates bottom-line operating profit</v>
      </c>
    </row>
    <row r="10">
      <c r="A10" t="str">
        <v>Gross Sales Revenue (₹)</v>
      </c>
      <c r="B10" s="1">
        <f>B5*B6</f>
        <v>12000000</v>
      </c>
      <c r="C10" t="str">
        <v>=B5*B6</v>
      </c>
      <c r="E10" s="1">
        <v>1200</v>
      </c>
      <c r="F10" s="1">
        <v>12000000</v>
      </c>
      <c r="G10" s="1">
        <v>9000000</v>
      </c>
      <c r="H10" s="1">
        <v>3000000</v>
      </c>
      <c r="J10" t="str">
        <v>F6:H14</v>
      </c>
      <c r="K10" t="str">
        <v>{=TABLE(, B5)}</v>
      </c>
      <c r="L10" t="str">
        <v>Iterates Column E prices into cell B5 to model elasticity</v>
      </c>
    </row>
    <row r="11">
      <c r="A11" t="str">
        <v>Total Operating Cost (₹)</v>
      </c>
      <c r="B11" s="1">
        <f>B8+B9</f>
        <v>9000000</v>
      </c>
      <c r="C11" t="str">
        <v>=B8+B9</v>
      </c>
      <c r="E11" s="1">
        <v>1300</v>
      </c>
      <c r="F11" s="1">
        <v>13000000</v>
      </c>
      <c r="G11" s="1">
        <v>9000000</v>
      </c>
      <c r="H11" s="1">
        <v>4000000</v>
      </c>
    </row>
    <row r="12">
      <c r="A12" t="str">
        <v>Net Operating Profit (₹)</v>
      </c>
      <c r="B12" s="1">
        <f>B10-B11</f>
        <v>3000000</v>
      </c>
      <c r="C12" t="str">
        <v>=B10-B11</v>
      </c>
      <c r="E12" s="1">
        <v>1400</v>
      </c>
      <c r="F12" s="1">
        <v>14000000</v>
      </c>
      <c r="G12" s="1">
        <v>9000000</v>
      </c>
      <c r="H12" s="1">
        <v>5000000</v>
      </c>
    </row>
    <row r="13">
      <c r="A13" t="str">
        <v>Operating Margin (%)</v>
      </c>
      <c r="B13" s="2">
        <f>B12/B10</f>
        <v>0.25</v>
      </c>
      <c r="C13" t="str">
        <v>=B12/B10</v>
      </c>
      <c r="E13" s="1">
        <v>1500</v>
      </c>
      <c r="F13" s="1">
        <v>15000000</v>
      </c>
      <c r="G13" s="1">
        <v>9000000</v>
      </c>
      <c r="H13" s="1">
        <v>6000000</v>
      </c>
    </row>
    <row r="14">
      <c r="E14" s="1">
        <v>1600</v>
      </c>
      <c r="F14" s="1">
        <v>16000000</v>
      </c>
      <c r="G14" s="1">
        <v>9000000</v>
      </c>
      <c r="H14" s="1">
        <v>7000000</v>
      </c>
    </row>
  </sheetData>
  <ignoredErrors>
    <ignoredError numberStoredAsText="1" sqref="A1:L16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L16"/>
  <sheetViews>
    <sheetView workbookViewId="0"/>
  </sheetViews>
  <sheetData>
    <row r="1">
      <c r="A1" t="str">
        <v>EXAMPLE 3: MANUFACTURING PRODUCTION VOLUME &amp; BREAK-EVEN ANALYSIS</v>
      </c>
    </row>
    <row r="2">
      <c r="A2" t="str">
        <v>Testing Operating Leverage &amp; Fixed Overhead Absorption (5,000 to 25,000 Units)</v>
      </c>
    </row>
    <row r="4">
      <c r="A4" t="str">
        <v>BASE COST ACCOUNTING MODEL</v>
      </c>
      <c r="B4" t="str">
        <v>Model Value</v>
      </c>
      <c r="C4" t="str">
        <v>Formula / Ref</v>
      </c>
      <c r="E4" t="str">
        <v>VOLUME SENSITIVITY TABLE</v>
      </c>
      <c r="J4" t="str">
        <v>FORMULA INSPECTOR</v>
      </c>
    </row>
    <row r="5">
      <c r="A5" t="str">
        <v>Unit Selling Price (₹)</v>
      </c>
      <c r="B5" s="1">
        <v>2500</v>
      </c>
      <c r="C5" t="str">
        <v>INR / Unit (B5)</v>
      </c>
      <c r="E5" t="str">
        <v>Volume_Units</v>
      </c>
      <c r="F5" s="1">
        <f>B9</f>
        <v>16500000</v>
      </c>
      <c r="G5" s="1">
        <f>B10</f>
        <v>16500000</v>
      </c>
      <c r="H5" s="1">
        <f>B11</f>
        <v>0</v>
      </c>
      <c r="J5" t="str">
        <v>Coordinate</v>
      </c>
      <c r="K5" t="str">
        <v>Formula String</v>
      </c>
      <c r="L5" t="str">
        <v>Business Logic</v>
      </c>
    </row>
    <row r="6">
      <c r="A6" t="str">
        <v>Variable Cost / Unit (₹)</v>
      </c>
      <c r="B6" s="1">
        <v>1400</v>
      </c>
      <c r="C6" t="str">
        <v>INR / Unit (B6)</v>
      </c>
      <c r="E6" s="4">
        <v>5000</v>
      </c>
      <c r="F6" s="1">
        <v>5500000</v>
      </c>
      <c r="G6" s="1">
        <v>16500000</v>
      </c>
      <c r="H6" s="1">
        <v>-11000000</v>
      </c>
      <c r="J6" t="str">
        <v>B7</v>
      </c>
      <c r="K6" t="str">
        <v>=B5-B6</v>
      </c>
      <c r="L6" t="str">
        <v>Calculates per-unit gross contribution margin (₹1,100)</v>
      </c>
    </row>
    <row r="7">
      <c r="A7" t="str">
        <v>Unit Contribution Margin (₹)</v>
      </c>
      <c r="B7" s="1">
        <f>B5-B6</f>
        <v>1100</v>
      </c>
      <c r="C7" t="str">
        <v>=B5-B6</v>
      </c>
      <c r="E7" s="4">
        <v>7500</v>
      </c>
      <c r="F7" s="1">
        <v>8250000</v>
      </c>
      <c r="G7" s="1">
        <v>16500000</v>
      </c>
      <c r="H7" s="1">
        <v>-8250000</v>
      </c>
      <c r="J7" t="str">
        <v>B9</v>
      </c>
      <c r="K7" t="str">
        <v>=B8*B7</v>
      </c>
      <c r="L7" t="str">
        <v>Calculates total factory contribution pool</v>
      </c>
    </row>
    <row r="8">
      <c r="A8" t="str">
        <v>Units Produced &amp; Sold</v>
      </c>
      <c r="B8" s="4">
        <v>15000</v>
      </c>
      <c r="C8" t="str">
        <v>Units (BASE INPUT in B8)</v>
      </c>
      <c r="E8" s="4">
        <v>10000</v>
      </c>
      <c r="F8" s="1">
        <v>11000000</v>
      </c>
      <c r="G8" s="1">
        <v>16500000</v>
      </c>
      <c r="H8" s="1">
        <v>-5500000</v>
      </c>
      <c r="J8" t="str">
        <v>B11</v>
      </c>
      <c r="K8" t="str">
        <v>=B9-B10</v>
      </c>
      <c r="L8" t="str">
        <v>Calculates net EBIT after full overhead absorption</v>
      </c>
    </row>
    <row r="9">
      <c r="A9" t="str">
        <v>Total Contribution Margin (₹)</v>
      </c>
      <c r="B9" s="1">
        <f>B8*B7</f>
        <v>16500000</v>
      </c>
      <c r="C9" t="str">
        <v>=B8*B7</v>
      </c>
      <c r="E9" s="4">
        <v>12500</v>
      </c>
      <c r="F9" s="1">
        <v>13750000</v>
      </c>
      <c r="G9" s="1">
        <v>16500000</v>
      </c>
      <c r="H9" s="1">
        <v>-2750000</v>
      </c>
      <c r="J9" t="str">
        <v>B12</v>
      </c>
      <c r="K9" t="str">
        <v>=B10/B7</v>
      </c>
      <c r="L9" t="str">
        <v>Direct break-even formula = 15,000 units</v>
      </c>
    </row>
    <row r="10">
      <c r="A10" t="str">
        <v>Fixed Factory Overheads (₹)</v>
      </c>
      <c r="B10" s="1">
        <v>16500000</v>
      </c>
      <c r="C10" t="str">
        <v>INR (B10)</v>
      </c>
      <c r="E10" s="4">
        <v>15000</v>
      </c>
      <c r="F10" s="1">
        <v>16500000</v>
      </c>
      <c r="G10" s="1">
        <v>16500000</v>
      </c>
      <c r="H10" s="1">
        <v>0</v>
      </c>
      <c r="J10" t="str">
        <v>F6:H14</v>
      </c>
      <c r="K10" t="str">
        <v>{=TABLE(, B8)}</v>
      </c>
      <c r="L10" t="str">
        <v>Identifies that every unit above 15,000 adds ₹1,100 to EBIT</v>
      </c>
    </row>
    <row r="11">
      <c r="A11" t="str">
        <v>Net Operating EBIT (₹)</v>
      </c>
      <c r="B11" s="1">
        <f>B9-B10</f>
        <v>0</v>
      </c>
      <c r="C11" t="str">
        <v>=B9-B10</v>
      </c>
      <c r="E11" s="4">
        <v>17500</v>
      </c>
      <c r="F11" s="1">
        <v>19250000</v>
      </c>
      <c r="G11" s="1">
        <v>16500000</v>
      </c>
      <c r="H11" s="1">
        <v>2750000</v>
      </c>
    </row>
    <row r="12">
      <c r="A12" t="str">
        <v>Break-Even Volume (Units)</v>
      </c>
      <c r="B12" s="4">
        <f>B10/B7</f>
        <v>15000</v>
      </c>
      <c r="C12" t="str">
        <v>=B10/B7</v>
      </c>
      <c r="E12" s="4">
        <v>20000</v>
      </c>
      <c r="F12" s="1">
        <v>22000000</v>
      </c>
      <c r="G12" s="1">
        <v>16500000</v>
      </c>
      <c r="H12" s="1">
        <v>5500000</v>
      </c>
    </row>
    <row r="13">
      <c r="E13" s="4">
        <v>22500</v>
      </c>
      <c r="F13" s="1">
        <v>24750000</v>
      </c>
      <c r="G13" s="1">
        <v>16500000</v>
      </c>
      <c r="H13" s="1">
        <v>8250000</v>
      </c>
    </row>
    <row r="14">
      <c r="E14" s="4">
        <v>25000</v>
      </c>
      <c r="F14" s="1">
        <v>27500000</v>
      </c>
      <c r="G14" s="1">
        <v>16500000</v>
      </c>
      <c r="H14" s="1">
        <v>11000000</v>
      </c>
    </row>
  </sheetData>
  <ignoredErrors>
    <ignoredError numberStoredAsText="1" sqref="A1:L16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L16"/>
  <sheetViews>
    <sheetView workbookViewId="0"/>
  </sheetViews>
  <sheetData>
    <row r="1">
      <c r="A1" t="str">
        <v>EXAMPLE 4: CAPITAL BUDGETING - WACC DISCOUNT RATE SENSITIVITY ON PROJECT NPV</v>
      </c>
    </row>
    <row r="2">
      <c r="A2" t="str">
        <v>Evaluating ₹1 Crore Plant Expansion across Discount Rates (8.0% to 22.0%)</v>
      </c>
    </row>
    <row r="4">
      <c r="A4" t="str">
        <v>PROJECT CASH FLOW TIMELINE</v>
      </c>
      <c r="B4" t="str">
        <v>Cash Flow (INR)</v>
      </c>
      <c r="C4" t="str">
        <v>Description</v>
      </c>
      <c r="E4" t="str">
        <v>DISCOUNT RATE SENSITIVITY</v>
      </c>
      <c r="J4" t="str">
        <v>FORMULA INSPECTOR</v>
      </c>
    </row>
    <row r="5">
      <c r="A5" t="str">
        <v>Year 0 (Initial Capex)</v>
      </c>
      <c r="B5" s="1">
        <v>-10000000</v>
      </c>
      <c r="C5" t="str">
        <v>Plant Machinery (B5)</v>
      </c>
      <c r="E5" t="str">
        <v>WACC_Scenario</v>
      </c>
      <c r="F5" s="1">
        <f>B13</f>
        <v>2226927.4</v>
      </c>
      <c r="G5" t="str">
        <v>Boardroom Decision</v>
      </c>
      <c r="J5" t="str">
        <v>Coordinate</v>
      </c>
      <c r="K5" t="str">
        <v>Formula String</v>
      </c>
      <c r="L5" t="str">
        <v>Business Logic</v>
      </c>
    </row>
    <row r="6">
      <c r="A6" t="str">
        <v>Year 1 (Cash Inflow)</v>
      </c>
      <c r="B6" s="1">
        <v>2800000</v>
      </c>
      <c r="C6" t="str">
        <v>Operating Cash (B6)</v>
      </c>
      <c r="E6" s="2">
        <v>0.08</v>
      </c>
      <c r="F6" s="1">
        <v>3629935.89</v>
      </c>
      <c r="G6" t="str">
        <v>ACCEPT (Creates Value)</v>
      </c>
      <c r="J6" t="str">
        <v>B13</v>
      </c>
      <c r="K6" t="str">
        <v>=NPV(B12, B6:B10)+B5</v>
      </c>
      <c r="L6" t="str">
        <v>Calculates net present value of 5-year discounted cash flow</v>
      </c>
    </row>
    <row r="7">
      <c r="A7" t="str">
        <v>Year 2 (Cash Inflow)</v>
      </c>
      <c r="B7" s="1">
        <v>3200000</v>
      </c>
      <c r="C7" t="str">
        <v>Operating Cash (B7)</v>
      </c>
      <c r="E7" s="2">
        <v>0.1</v>
      </c>
      <c r="F7" s="1">
        <v>2898820.87</v>
      </c>
      <c r="G7" t="str">
        <v>ACCEPT (Creates Value)</v>
      </c>
      <c r="J7" t="str">
        <v>F6:F14</v>
      </c>
      <c r="K7" t="str">
        <v>{=TABLE(, B12)}</v>
      </c>
      <c r="L7" t="str">
        <v>Identifies that project creates shareholder value up to 21.4% WACC</v>
      </c>
    </row>
    <row r="8">
      <c r="A8" t="str">
        <v>Year 3 (Cash Inflow)</v>
      </c>
      <c r="B8" s="1">
        <v>3500000</v>
      </c>
      <c r="C8" t="str">
        <v>Operating Cash (B8)</v>
      </c>
      <c r="E8" s="2">
        <v>0.12</v>
      </c>
      <c r="F8" s="1">
        <v>2226927.4</v>
      </c>
      <c r="G8" t="str">
        <v>ACCEPT (Creates Value)</v>
      </c>
    </row>
    <row r="9">
      <c r="A9" t="str">
        <v>Year 4 (Cash Inflow)</v>
      </c>
      <c r="B9" s="1">
        <v>3800000</v>
      </c>
      <c r="C9" t="str">
        <v>Operating Cash (B9)</v>
      </c>
      <c r="E9" s="2">
        <v>0.14</v>
      </c>
      <c r="F9" s="1">
        <v>1608216.46</v>
      </c>
      <c r="G9" t="str">
        <v>ACCEPT (Creates Value)</v>
      </c>
    </row>
    <row r="10">
      <c r="A10" t="str">
        <v>Year 5 (Cash Inflow)</v>
      </c>
      <c r="B10" s="1">
        <v>4000000</v>
      </c>
      <c r="C10" t="str">
        <v>Operating Cash (B10)</v>
      </c>
      <c r="E10" s="2">
        <v>0.16</v>
      </c>
      <c r="F10" s="1">
        <v>1037374.48</v>
      </c>
      <c r="G10" t="str">
        <v>ACCEPT (Creates Value)</v>
      </c>
    </row>
    <row r="11">
      <c r="E11" s="2">
        <v>0.18</v>
      </c>
      <c r="F11" s="1">
        <v>509714.18</v>
      </c>
      <c r="G11" t="str">
        <v>ACCEPT (Creates Value)</v>
      </c>
    </row>
    <row r="12">
      <c r="A12" t="str">
        <v>Baseline Discount Rate (WACC)</v>
      </c>
      <c r="B12" s="2">
        <v>0.12</v>
      </c>
      <c r="C12" t="str">
        <v>Cost of Capital (BASE INPUT in B12)</v>
      </c>
      <c r="E12" s="2">
        <v>0.2</v>
      </c>
      <c r="F12" s="1">
        <v>21090.53</v>
      </c>
      <c r="G12" t="str">
        <v>ACCEPT (Creates Value)</v>
      </c>
    </row>
    <row r="13">
      <c r="A13" t="str">
        <v>Project Net Present Value (NPV)</v>
      </c>
      <c r="B13" s="1">
        <f>NPV(B12, B6:B10)+B5</f>
        <v>2226927.396322958</v>
      </c>
      <c r="C13" t="str">
        <v>=NPV(B12, B6:B10)+B5</v>
      </c>
      <c r="E13" s="2">
        <v>0.214</v>
      </c>
      <c r="F13" s="1">
        <v>-299703.8</v>
      </c>
      <c r="G13" t="str">
        <v>IRR CROSSOVER (21.4%)</v>
      </c>
    </row>
    <row r="14">
      <c r="E14" s="2">
        <v>0.22</v>
      </c>
      <c r="F14" s="1">
        <v>-432170.69</v>
      </c>
      <c r="G14" t="str">
        <v>REJECT (Destroys Value)</v>
      </c>
    </row>
  </sheetData>
  <ignoredErrors>
    <ignoredError numberStoredAsText="1" sqref="A1:L16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L16"/>
  <sheetViews>
    <sheetView workbookViewId="0"/>
  </sheetViews>
  <sheetData>
    <row r="1">
      <c r="A1" t="str">
        <v>EXAMPLE 5: COMMERCIAL REAL ESTATE OCCUPANCY VS NET OPERATING INCOME (NOI)</v>
      </c>
    </row>
    <row r="2">
      <c r="A2" t="str">
        <v>Stress-Testing Tenant Vacancy on Debt Service Coverage Ratio (DSCR)</v>
      </c>
    </row>
    <row r="4">
      <c r="A4" t="str">
        <v>COMMERCIAL PROPERTY MODEL</v>
      </c>
      <c r="B4" t="str">
        <v>Model Value</v>
      </c>
      <c r="C4" t="str">
        <v>Formula / Ref</v>
      </c>
      <c r="E4" t="str">
        <v>OCCUPANCY SENSITIVITY TABLE</v>
      </c>
      <c r="J4" t="str">
        <v>FORMULA INSPECTOR</v>
      </c>
    </row>
    <row r="5">
      <c r="A5" t="str">
        <v>Total Leasable Area (Sq.Ft.)</v>
      </c>
      <c r="B5" s="4">
        <v>100000</v>
      </c>
      <c r="C5" t="str">
        <v>Sq.Ft. (B5)</v>
      </c>
      <c r="E5" t="str">
        <v>Occupancy_Rate</v>
      </c>
      <c r="F5" s="1">
        <f>B9</f>
        <v>122400000</v>
      </c>
      <c r="G5" s="1">
        <f>B11</f>
        <v>97400000</v>
      </c>
      <c r="H5" s="5">
        <f>B13</f>
        <v>1.948</v>
      </c>
      <c r="J5" t="str">
        <v>Coordinate</v>
      </c>
      <c r="K5" t="str">
        <v>Formula String</v>
      </c>
      <c r="L5" t="str">
        <v>Business Logic</v>
      </c>
    </row>
    <row r="6">
      <c r="A6" t="str">
        <v>Monthly Rent / Sq.Ft. (₹)</v>
      </c>
      <c r="B6" s="1">
        <v>120</v>
      </c>
      <c r="C6" t="str">
        <v>INR / Sq.Ft. / Month (B6)</v>
      </c>
      <c r="E6" s="2">
        <v>0.6</v>
      </c>
      <c r="F6" s="1">
        <v>86400000</v>
      </c>
      <c r="G6" s="1">
        <v>61400000</v>
      </c>
      <c r="H6" s="5">
        <v>1.23</v>
      </c>
      <c r="J6" t="str">
        <v>B8</v>
      </c>
      <c r="K6" t="str">
        <v>=B5*B6*12</v>
      </c>
      <c r="L6" t="str">
        <v>Calculates maximum 100% capacity annual rent pool</v>
      </c>
    </row>
    <row r="7">
      <c r="A7" t="str">
        <v>Occupancy Rate (%)</v>
      </c>
      <c r="B7" s="2">
        <v>0.85</v>
      </c>
      <c r="C7" t="str">
        <v>% Leased (BASE INPUT in B7)</v>
      </c>
      <c r="E7" s="2">
        <v>0.65</v>
      </c>
      <c r="F7" s="1">
        <v>93600000</v>
      </c>
      <c r="G7" s="1">
        <v>68600000</v>
      </c>
      <c r="H7" s="5">
        <v>1.37</v>
      </c>
      <c r="J7" t="str">
        <v>B9</v>
      </c>
      <c r="K7" t="str">
        <v>=B8*B7</v>
      </c>
      <c r="L7" t="str">
        <v>Calculates realized gross rental revenue based on active tenant occupancy</v>
      </c>
    </row>
    <row r="8">
      <c r="A8" t="str">
        <v>Total Potential Annual Rent (₹)</v>
      </c>
      <c r="B8" s="1">
        <f>B5*B6*12</f>
        <v>144000000</v>
      </c>
      <c r="C8" t="str">
        <v>=B5*B6*12</v>
      </c>
      <c r="E8" s="2">
        <v>0.7</v>
      </c>
      <c r="F8" s="1">
        <v>100800000</v>
      </c>
      <c r="G8" s="1">
        <v>75800000</v>
      </c>
      <c r="H8" s="5">
        <v>1.52</v>
      </c>
      <c r="J8" t="str">
        <v>B11</v>
      </c>
      <c r="K8" t="str">
        <v>=B9-B10</v>
      </c>
      <c r="L8" t="str">
        <v>Calculates Net Operating Income (NOI) after property maintenance</v>
      </c>
    </row>
    <row r="9">
      <c r="A9" t="str">
        <v>Actual Gross Rental Income (₹)</v>
      </c>
      <c r="B9" s="1">
        <f>B8*B7</f>
        <v>122400000</v>
      </c>
      <c r="C9" t="str">
        <v>=B8*B7</v>
      </c>
      <c r="E9" s="2">
        <v>0.75</v>
      </c>
      <c r="F9" s="1">
        <v>108000000</v>
      </c>
      <c r="G9" s="1">
        <v>83000000</v>
      </c>
      <c r="H9" s="5">
        <v>1.66</v>
      </c>
      <c r="J9" t="str">
        <v>B13</v>
      </c>
      <c r="K9" t="str">
        <v>=B11/B12</v>
      </c>
      <c r="L9" t="str">
        <v>Underwriting coverage ratio: Benchmark &gt; 1.35x bankable threshold</v>
      </c>
    </row>
    <row r="10">
      <c r="A10" t="str">
        <v>Annual Operating Expenses (₹)</v>
      </c>
      <c r="B10" s="1">
        <v>25000000</v>
      </c>
      <c r="C10" t="str">
        <v>INR (B10)</v>
      </c>
      <c r="E10" s="2">
        <v>0.8</v>
      </c>
      <c r="F10" s="1">
        <v>115200000</v>
      </c>
      <c r="G10" s="1">
        <v>90200000</v>
      </c>
      <c r="H10" s="5">
        <v>1.8</v>
      </c>
      <c r="J10" t="str">
        <v>F6:H14</v>
      </c>
      <c r="K10" t="str">
        <v>{=TABLE(, B7)}</v>
      </c>
      <c r="L10" t="str">
        <v>Shows building remains fully solvent down to 65% occupancy</v>
      </c>
    </row>
    <row r="11">
      <c r="A11" t="str">
        <v>Net Operating Income (NOI) (₹)</v>
      </c>
      <c r="B11" s="1">
        <f>B9-B10</f>
        <v>97400000</v>
      </c>
      <c r="C11" t="str">
        <v>=B9-B10</v>
      </c>
      <c r="E11" s="2">
        <v>0.85</v>
      </c>
      <c r="F11" s="1">
        <v>122400000</v>
      </c>
      <c r="G11" s="1">
        <v>97400000</v>
      </c>
      <c r="H11" s="5">
        <v>1.95</v>
      </c>
    </row>
    <row r="12">
      <c r="A12" t="str">
        <v>Annual Debt Service (Bank EMI) (₹)</v>
      </c>
      <c r="B12" s="1">
        <v>50000000</v>
      </c>
      <c r="C12" t="str">
        <v>INR / Year (B12)</v>
      </c>
      <c r="E12" s="2">
        <v>0.9</v>
      </c>
      <c r="F12" s="1">
        <v>129600000</v>
      </c>
      <c r="G12" s="1">
        <v>104600000</v>
      </c>
      <c r="H12" s="5">
        <v>2.09</v>
      </c>
    </row>
    <row r="13">
      <c r="A13" t="str">
        <v>Debt Service Coverage (DSCR)</v>
      </c>
      <c r="B13" s="5">
        <f>B11/B12</f>
        <v>1.948</v>
      </c>
      <c r="C13" t="str">
        <v>=B11/B12</v>
      </c>
      <c r="E13" s="2">
        <v>0.95</v>
      </c>
      <c r="F13" s="1">
        <v>136800000</v>
      </c>
      <c r="G13" s="1">
        <v>111800000</v>
      </c>
      <c r="H13" s="5">
        <v>2.24</v>
      </c>
    </row>
    <row r="14">
      <c r="E14" s="2">
        <v>1</v>
      </c>
      <c r="F14" s="1">
        <v>144000000</v>
      </c>
      <c r="G14" s="1">
        <v>119000000</v>
      </c>
      <c r="H14" s="5">
        <v>2.38</v>
      </c>
    </row>
  </sheetData>
  <ignoredErrors>
    <ignoredError numberStoredAsText="1" sqref="A1:L16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L16"/>
  <sheetViews>
    <sheetView workbookViewId="0"/>
  </sheetViews>
  <sheetData>
    <row r="1">
      <c r="A1" t="str">
        <v>EXAMPLE 6: MULTI-OUTPUT USD/INR EXCHANGE RATE SENSITIVITY MATRIX</v>
      </c>
    </row>
    <row r="2">
      <c r="A2" t="str">
        <v>Testing Currency Volatility Driving Landed Cost, Export Realization, and Net Margin in Parallel</v>
      </c>
    </row>
    <row r="4">
      <c r="A4" t="str">
        <v>GLOBAL TRADE MODEL</v>
      </c>
      <c r="B4" t="str">
        <v>Model Value</v>
      </c>
      <c r="C4" t="str">
        <v>Formula / Unit</v>
      </c>
      <c r="E4" t="str">
        <v>FOREX SENSITIVITY TABLE</v>
      </c>
      <c r="J4" t="str">
        <v>FORMULA INSPECTOR</v>
      </c>
    </row>
    <row r="5">
      <c r="A5" t="str">
        <v>Export Contract Volume ($)</v>
      </c>
      <c r="B5" s="6">
        <v>500000</v>
      </c>
      <c r="C5" t="str">
        <v>USD (B5)</v>
      </c>
      <c r="E5" t="str">
        <v>USD_INR_Rate</v>
      </c>
      <c r="F5" s="1">
        <f>B9</f>
        <v>27040000</v>
      </c>
      <c r="G5" s="1">
        <f>B10</f>
        <v>42250000</v>
      </c>
      <c r="H5" s="1">
        <f>B11</f>
        <v>10210000</v>
      </c>
      <c r="J5" t="str">
        <v>Coordinate</v>
      </c>
      <c r="K5" t="str">
        <v>Formula String</v>
      </c>
      <c r="L5" t="str">
        <v>Business Logic</v>
      </c>
    </row>
    <row r="6">
      <c r="A6" t="str">
        <v>Imported Raw Materials ($)</v>
      </c>
      <c r="B6" s="6">
        <v>320000</v>
      </c>
      <c r="C6" t="str">
        <v>USD (B6)</v>
      </c>
      <c r="E6" s="7">
        <v>80</v>
      </c>
      <c r="F6" s="1">
        <v>25600000</v>
      </c>
      <c r="G6" s="1">
        <v>40000000</v>
      </c>
      <c r="H6" s="1">
        <v>9400000</v>
      </c>
      <c r="J6" t="str">
        <v>B9</v>
      </c>
      <c r="K6" t="str">
        <v>=B6*B8</v>
      </c>
      <c r="L6" t="str">
        <v>Calculates rupee cost of imported raw materials at current spot FX rate</v>
      </c>
    </row>
    <row r="7">
      <c r="A7" t="str">
        <v>Domestic Processing Costs (₹)</v>
      </c>
      <c r="B7" s="1">
        <v>5000000</v>
      </c>
      <c r="C7" t="str">
        <v>INR (B7)</v>
      </c>
      <c r="E7" s="7">
        <v>81</v>
      </c>
      <c r="F7" s="1">
        <v>25920000</v>
      </c>
      <c r="G7" s="1">
        <v>40500000</v>
      </c>
      <c r="H7" s="1">
        <v>9580000</v>
      </c>
      <c r="J7" t="str">
        <v>B10</v>
      </c>
      <c r="K7" t="str">
        <v>=B5*B8</v>
      </c>
      <c r="L7" t="str">
        <v>Calculates converted rupee revenue realized from overseas export shipments</v>
      </c>
    </row>
    <row r="8">
      <c r="A8" t="str">
        <v>USD/INR Spot Exchange Rate</v>
      </c>
      <c r="B8" s="7">
        <v>84.5</v>
      </c>
      <c r="C8" t="str">
        <v>INR per USD (BASE INPUT in B8)</v>
      </c>
      <c r="E8" s="7">
        <v>82</v>
      </c>
      <c r="F8" s="1">
        <v>26240000</v>
      </c>
      <c r="G8" s="1">
        <v>41000000</v>
      </c>
      <c r="H8" s="1">
        <v>9760000</v>
      </c>
      <c r="J8" t="str">
        <v>B11</v>
      </c>
      <c r="K8" t="str">
        <v>=B10-B9-B7</v>
      </c>
      <c r="L8" t="str">
        <v>Net margin in INR after accounting for domestic value-addition expenses</v>
      </c>
    </row>
    <row r="9">
      <c r="A9" t="str">
        <v>Landed Material Cost (₹)</v>
      </c>
      <c r="B9" s="1">
        <f>B6*B8</f>
        <v>27040000</v>
      </c>
      <c r="C9" t="str">
        <v>=B6*B8</v>
      </c>
      <c r="E9" s="7">
        <v>83</v>
      </c>
      <c r="F9" s="1">
        <v>26560000</v>
      </c>
      <c r="G9" s="1">
        <v>41500000</v>
      </c>
      <c r="H9" s="1">
        <v>9940000</v>
      </c>
      <c r="J9" t="str">
        <v>F6:H15</v>
      </c>
      <c r="K9" t="str">
        <v>{=TABLE(, B8)}</v>
      </c>
      <c r="L9" t="str">
        <v>Demonstrates 1 single FX rate driving 3 parallel output calculations</v>
      </c>
    </row>
    <row r="10">
      <c r="A10" t="str">
        <v>Gross Export Revenue (₹)</v>
      </c>
      <c r="B10" s="1">
        <f>B5*B8</f>
        <v>42250000</v>
      </c>
      <c r="C10" t="str">
        <v>=B5*B8</v>
      </c>
      <c r="E10" s="7">
        <v>84</v>
      </c>
      <c r="F10" s="1">
        <v>26880000</v>
      </c>
      <c r="G10" s="1">
        <v>42000000</v>
      </c>
      <c r="H10" s="1">
        <v>10120000</v>
      </c>
    </row>
    <row r="11">
      <c r="A11" t="str">
        <v>Net Operating Margin (₹)</v>
      </c>
      <c r="B11" s="1">
        <f>B10-B9-B7</f>
        <v>10210000</v>
      </c>
      <c r="C11" t="str">
        <v>=B10-B9-B7</v>
      </c>
      <c r="E11" s="7">
        <v>84.5</v>
      </c>
      <c r="F11" s="1">
        <v>27040000</v>
      </c>
      <c r="G11" s="1">
        <v>42250000</v>
      </c>
      <c r="H11" s="1">
        <v>10210000</v>
      </c>
    </row>
    <row r="12">
      <c r="E12" s="7">
        <v>85</v>
      </c>
      <c r="F12" s="1">
        <v>27200000</v>
      </c>
      <c r="G12" s="1">
        <v>42500000</v>
      </c>
      <c r="H12" s="1">
        <v>10300000</v>
      </c>
    </row>
    <row r="13">
      <c r="E13" s="7">
        <v>86</v>
      </c>
      <c r="F13" s="1">
        <v>27520000</v>
      </c>
      <c r="G13" s="1">
        <v>43000000</v>
      </c>
      <c r="H13" s="1">
        <v>10480000</v>
      </c>
    </row>
    <row r="14">
      <c r="E14" s="7">
        <v>88</v>
      </c>
      <c r="F14" s="1">
        <v>28160000</v>
      </c>
      <c r="G14" s="1">
        <v>44000000</v>
      </c>
      <c r="H14" s="1">
        <v>10840000</v>
      </c>
    </row>
    <row r="15">
      <c r="E15" s="7">
        <v>90</v>
      </c>
      <c r="F15" s="1">
        <v>28800000</v>
      </c>
      <c r="G15" s="1">
        <v>45000000</v>
      </c>
      <c r="H15" s="1">
        <v>11200000</v>
      </c>
    </row>
  </sheetData>
  <ignoredErrors>
    <ignoredError numberStoredAsText="1" sqref="A1:L16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I13"/>
  <sheetViews>
    <sheetView workbookViewId="0"/>
  </sheetViews>
  <sheetData>
    <row r="1">
      <c r="A1" t="str">
        <v>EXAMPLE 7: ROW-ORIENTED (HORIZONTAL) SENSITIVITY DATA TABLE</v>
      </c>
    </row>
    <row r="2">
      <c r="A2" t="str">
        <v>Testing Revenue Growth Rates Across Row 4 Driving Net EBITDA in Leading Column D5</v>
      </c>
    </row>
    <row r="4">
      <c r="A4" t="str">
        <v>BASE MODEL INPUTS &amp; LOGIC</v>
      </c>
      <c r="B4" t="str">
        <v>Model Value</v>
      </c>
      <c r="C4" t="str">
        <v>Formula</v>
      </c>
      <c r="D4" t="str">
        <v>GROWTH SCENARIOS -&gt;</v>
      </c>
      <c r="E4" s="2">
        <v>0.02</v>
      </c>
      <c r="F4" s="2">
        <v>0.04</v>
      </c>
      <c r="G4" s="2">
        <v>0.06</v>
      </c>
      <c r="H4" s="2">
        <v>0.08</v>
      </c>
      <c r="I4" s="2">
        <v>0.1</v>
      </c>
    </row>
    <row r="5">
      <c r="A5" t="str">
        <v>Base Annual Revenue (₹)</v>
      </c>
      <c r="B5" s="1">
        <v>50000000</v>
      </c>
      <c r="C5" t="str">
        <v>INR (B5)</v>
      </c>
      <c r="D5" s="1">
        <f>B11</f>
        <v>14650000</v>
      </c>
      <c r="E5" s="1">
        <v>13950000</v>
      </c>
      <c r="F5" s="1">
        <v>14300000</v>
      </c>
      <c r="G5" s="1">
        <v>14650000</v>
      </c>
      <c r="H5" s="1">
        <v>15000000</v>
      </c>
      <c r="I5" s="1">
        <v>15350000</v>
      </c>
    </row>
    <row r="6">
      <c r="A6" t="str">
        <v>Revenue Growth Rate (%)</v>
      </c>
      <c r="B6" s="2">
        <v>0.06</v>
      </c>
      <c r="C6" t="str">
        <v>% Growth (BASE INPUT in B6)</v>
      </c>
    </row>
    <row r="7">
      <c r="A7" t="str">
        <v>Forecasted Gross Revenue (₹)</v>
      </c>
      <c r="B7" s="1">
        <f>B5*(1+B6)</f>
        <v>53000000</v>
      </c>
      <c r="C7" t="str">
        <v>=B5*(1+B6)</v>
      </c>
    </row>
    <row r="8">
      <c r="A8" t="str">
        <v>Operating Expense Ratio (%)</v>
      </c>
      <c r="B8" s="2">
        <v>0.65</v>
      </c>
      <c r="C8" t="str">
        <v>65% of Revenue (B8)</v>
      </c>
    </row>
    <row r="9">
      <c r="A9" t="str">
        <v>Total Operating Expenses (₹)</v>
      </c>
      <c r="B9" s="1">
        <f>B7*B8</f>
        <v>34450000</v>
      </c>
      <c r="C9" t="str">
        <v>=B7*B8</v>
      </c>
    </row>
    <row r="10">
      <c r="A10" t="str">
        <v>Fixed Corporate Overhead (₹)</v>
      </c>
      <c r="B10" s="1">
        <v>3900000</v>
      </c>
      <c r="C10" t="str">
        <v>INR (B10)</v>
      </c>
    </row>
    <row r="11">
      <c r="A11" t="str">
        <v>Net Operating EBITDA (₹)</v>
      </c>
      <c r="B11" s="1">
        <f>B7-B9-B10</f>
        <v>14650000</v>
      </c>
      <c r="C11" t="str">
        <v>=B7-B9-B10</v>
      </c>
    </row>
  </sheetData>
  <ignoredErrors>
    <ignoredError numberStoredAsText="1" sqref="A1:I1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Overview_Instructions</vt:lpstr>
      <vt:lpstr>Ex1_Loan_Interest_EMI</vt:lpstr>
      <vt:lpstr>Ex2_Product_Pricing_Margin</vt:lpstr>
      <vt:lpstr>Ex3_BreakEven_Production</vt:lpstr>
      <vt:lpstr>Ex4_Capex_WACC_NPV</vt:lpstr>
      <vt:lpstr>Ex5_RealEstate_Occupancy</vt:lpstr>
      <vt:lpstr>Ex6_Multi_Output_FX</vt:lpstr>
      <vt:lpstr>Ex7_Row_Oriented_Table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