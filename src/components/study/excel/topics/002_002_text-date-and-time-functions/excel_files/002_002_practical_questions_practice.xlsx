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Master Index &amp; Lab Guide" state="visible" r:id="rId4"/>
    <sheet sheetId="2" name="T00 - Text Clean &amp; Case" state="visible" r:id="rId5"/>
    <sheet sheetId="3" name="T01 - Substrings &amp; Search" state="visible" r:id="rId6"/>
    <sheet sheetId="4" name="T02 - Concatenation &amp; Join" state="visible" r:id="rId7"/>
    <sheet sheetId="5" name="T03 - Replace &amp; Substitution" state="visible" r:id="rId8"/>
    <sheet sheetId="6" name="T04 - Number &amp; Text Format" state="visible" r:id="rId9"/>
    <sheet sheetId="7" name="T05 - Core Date Operations" state="visible" r:id="rId10"/>
    <sheet sheetId="8" name="T06 - Temporal Shifts &amp; EOM" state="visible" r:id="rId11"/>
    <sheet sheetId="9" name="T08 - Modern Dynamic Text" state="visible" r:id="rId12"/>
    <sheet sheetId="10" name="T09 - String Masking &amp; Subs" state="visible" r:id="rId13"/>
    <sheet sheetId="11" name="T10 - Text-to-Number Coercion" state="visible" r:id="rId14"/>
    <sheet sheetId="12" name="T11 - Industrial ETL Pipeline" state="visible" r:id="rId15"/>
    <sheet sheetId="13" name="T12 - Shift Overtime Engine" state="visible" r:id="rId16"/>
  </sheets>
  <calcPr calcId="171027"/>
</workbook>
</file>

<file path=xl/sharedStrings.xml><?xml version="1.0" encoding="utf-8"?>
<sst xmlns="http://schemas.openxmlformats.org/spreadsheetml/2006/main" count="1638" uniqueCount="754">
  <si>
    <t>🏢 CODER &amp; ACCOTAX — CENTRE OF EXCELLENCE</t>
  </si>
  <si>
    <t>ISO 9001:2015 Certified Premier Training Institute • Advanced Excel, Analytics &amp; Corporate Financial Modeling</t>
  </si>
  <si>
    <t>📊 Module 2.2: Text, Date &amp; Time Functions — 120 Strictly Practical Hands-On Questions</t>
  </si>
  <si>
    <t>👨‍🏫 Lead Instructor &amp; Mentor:</t>
  </si>
  <si>
    <t>Sukanta Hui</t>
  </si>
  <si>
    <t>💼 Professional Designation:</t>
  </si>
  <si>
    <t>Senior Technology Educator &amp; Corporate Financial Modeling Trainer</t>
  </si>
  <si>
    <t>⏳ Experience &amp; Track Record:</t>
  </si>
  <si>
    <t>28+ Years Industry &amp; Academic Excellence (Mentoring Since 1998)</t>
  </si>
  <si>
    <t>🏛️ Parent Organization:</t>
  </si>
  <si>
    <t>Founder &amp; Director, Coder &amp; AccoTax Centre of Excellence</t>
  </si>
  <si>
    <t>📍 Campus Location:</t>
  </si>
  <si>
    <t>25(10/A) Shibtala Road, PO – N. C. Pukur, Barrackpore, Kolkata - 700122</t>
  </si>
  <si>
    <t>📞 Direct Contact / WhatsApp:</t>
  </si>
  <si>
    <t>+91 7003756860 / +91 9432456083</t>
  </si>
  <si>
    <t>✉️ Official Support Email:</t>
  </si>
  <si>
    <t>contact@codernaccotax.co.in</t>
  </si>
  <si>
    <t>🐙 Official GitHub Profile:</t>
  </si>
  <si>
    <t>https://github.com/sukantahui</t>
  </si>
  <si>
    <t>🌐 Institutional Portal:</t>
  </si>
  <si>
    <t>https://www.codernaccotax.co.in</t>
  </si>
  <si>
    <t>📌 HOW TO USE THIS WORKBOOK FOR HANDS-ON EXCEL MASTERY:</t>
  </si>
  <si>
    <t>1. Navigate to any topic worksheet using the interactive hyperlinks in the Table of Contents below.</t>
  </si>
  <si>
    <t>2. Each worksheet starts at Row 1 (Header Row) with authentic raw input data in Row 2 (A2), Row 3 (A3)... Row 11 (A11).</t>
  </si>
  <si>
    <t>3. Write and test your own live formulas in Column E ("Your Practice Formula" highlighted in light yellow).</t>
  </si>
  <si>
    <t>4. Column F contains the live Model Solution formula which Excel automatically calculates to verify your result.</t>
  </si>
  <si>
    <t>5. Review Columns G-L for the Verified Output description, Scenario context, and Step-by-Step Logic.</t>
  </si>
  <si>
    <t>6. Use the top return hyperlink ("🔙 Master Index") on any topic sheet to jump back to this landing guide instantly.</t>
  </si>
  <si>
    <t>Topic Code</t>
  </si>
  <si>
    <t>Topic Focus &amp; Practical Domain</t>
  </si>
  <si>
    <t>Sheet Navigation Link</t>
  </si>
  <si>
    <t>Scenarios Count</t>
  </si>
  <si>
    <t>Difficulty Tier</t>
  </si>
  <si>
    <t>Status</t>
  </si>
  <si>
    <t>Topic 00</t>
  </si>
  <si>
    <t>Text Clean &amp; Case</t>
  </si>
  <si>
    <t>👉 Open T00 - Text Clean &amp; Case</t>
  </si>
  <si>
    <t>10 Practical Qs</t>
  </si>
  <si>
    <t>Basic → Advanced</t>
  </si>
  <si>
    <t>✓ 100% Practicable</t>
  </si>
  <si>
    <t>Topic 01</t>
  </si>
  <si>
    <t>Substrings &amp; Search</t>
  </si>
  <si>
    <t>👉 Open T01 - Substrings &amp; Search</t>
  </si>
  <si>
    <t>Topic 02</t>
  </si>
  <si>
    <t>Concatenation &amp; Join</t>
  </si>
  <si>
    <t>👉 Open T02 - Concatenation &amp; Join</t>
  </si>
  <si>
    <t>Topic 03</t>
  </si>
  <si>
    <t>Replace &amp; Substitution</t>
  </si>
  <si>
    <t>👉 Open T03 - Replace &amp; Substitution</t>
  </si>
  <si>
    <t>Topic 04</t>
  </si>
  <si>
    <t>Number &amp; Text Format</t>
  </si>
  <si>
    <t>👉 Open T04 - Number &amp; Text Format</t>
  </si>
  <si>
    <t>Topic 05</t>
  </si>
  <si>
    <t>Core Date Operations</t>
  </si>
  <si>
    <t>👉 Open T05 - Core Date Operations</t>
  </si>
  <si>
    <t>Topic 06</t>
  </si>
  <si>
    <t>Temporal Shifts &amp; EOM</t>
  </si>
  <si>
    <t>👉 Open T06 - Temporal Shifts &amp; EOM</t>
  </si>
  <si>
    <t>Topic 08</t>
  </si>
  <si>
    <t>Modern Dynamic Text</t>
  </si>
  <si>
    <t>👉 Open T08 - Modern Dynamic Text</t>
  </si>
  <si>
    <t>Topic 09</t>
  </si>
  <si>
    <t>String Masking &amp; Subs</t>
  </si>
  <si>
    <t>👉 Open T09 - String Masking &amp; Subs</t>
  </si>
  <si>
    <t>Topic 10</t>
  </si>
  <si>
    <t>Text-to-Number Coercion</t>
  </si>
  <si>
    <t>👉 Open T10 - Text-to-Number Coercion</t>
  </si>
  <si>
    <t>Topic 11</t>
  </si>
  <si>
    <t>Industrial ETL Pipeline</t>
  </si>
  <si>
    <t>👉 Open T11 - Industrial ETL Pipeline</t>
  </si>
  <si>
    <t>Topic 12</t>
  </si>
  <si>
    <t>Shift Overtime Engine</t>
  </si>
  <si>
    <t>👉 Open T12 - Shift Overtime Engine</t>
  </si>
  <si>
    <t>Input Cell A (Raw Data)</t>
  </si>
  <si>
    <t>Input Cell B (Param / Data)</t>
  </si>
  <si>
    <t>Input Cell C (Param / Data)</t>
  </si>
  <si>
    <t>Input Cell D (Param / Data)</t>
  </si>
  <si>
    <t>Your Practice Formula (Try Here)</t>
  </si>
  <si>
    <t>Model Solution Formula (Live Evaluated)</t>
  </si>
  <si>
    <t>Verified Output Description</t>
  </si>
  <si>
    <t>Challenge / Question Title</t>
  </si>
  <si>
    <t>Function(s) Used</t>
  </si>
  <si>
    <t>Business Scenario &amp; Context</t>
  </si>
  <si>
    <t>Step-by-Step Logic &amp; Pro Tip</t>
  </si>
  <si>
    <t>Navigation</t>
  </si>
  <si>
    <t xml:space="preserve">  sWADEEP   bANERJEE </t>
  </si>
  <si>
    <t/>
  </si>
  <si>
    <t>"Swadeep Banerjee"</t>
  </si>
  <si>
    <t>Q1: Standardizing Mixed-Case Customer Names</t>
  </si>
  <si>
    <t>PROPER &amp; TRIM</t>
  </si>
  <si>
    <t>Basic</t>
  </si>
  <si>
    <t>Customer registration forms contain erratic casing and extra spaces. Standardize into Title Case.</t>
  </si>
  <si>
    <t>TRIM strips extra outer and inner spaces; PROPER capitalizes the first letter of each word. Pro-Tip: Always nest TRIM inside PROPER.</t>
  </si>
  <si>
    <t>🔙 Index</t>
  </si>
  <si>
    <t xml:space="preserve">  19abcde1234f1z5  </t>
  </si>
  <si>
    <t>"19ABCDE1234F1Z5"</t>
  </si>
  <si>
    <t>Q2: Vendor Tax ID Capitalization</t>
  </si>
  <si>
    <t>UPPER &amp; TRIM</t>
  </si>
  <si>
    <t>Vendors submit GSTIN/PAN tax numbers with random lowercase letters and spaces. Convert to uppercase for exact VLOOKUP matching.</t>
  </si>
  <si>
    <t>TRIM strips surrounding spaces; UPPER converts all alpha characters to uppercase.</t>
  </si>
  <si>
    <t xml:space="preserve">  Tuhina.Mukherjee@AccoTax.IN  </t>
  </si>
  <si>
    <t>"tuhina.mukherjee@accotax.in"</t>
  </si>
  <si>
    <t>Q3: Normalizing User Login Usernames to Lowercase</t>
  </si>
  <si>
    <t>LOWER &amp; TRIM</t>
  </si>
  <si>
    <t>Active Directory SSO requires all corporate email usernames to be stored in pure lowercase with no whitespace.</t>
  </si>
  <si>
    <t>TRIM removes whitespace; LOWER converts all characters to lowercase.</t>
  </si>
  <si>
    <t xml:space="preserve">   KOLKATA   WEST BENGAL   </t>
  </si>
  <si>
    <t>"Kolkata West Bengal"</t>
  </si>
  <si>
    <t>Q4: Multi-Space Elimination in Address Fields</t>
  </si>
  <si>
    <t>TRIM &amp; PROPER</t>
  </si>
  <si>
    <t>Warehouse dispatch addresses contain multiple consecutive space characters between words.</t>
  </si>
  <si>
    <t>TRIM collapses multiple internal spaces down to a single space; PROPER standardizes casing.</t>
  </si>
  <si>
    <t>swadeep@codernaccotax.co.in</t>
  </si>
  <si>
    <t>SWADEEP@CODERNACCOTAX.CO.IN</t>
  </si>
  <si>
    <t>FALSE</t>
  </si>
  <si>
    <t>Q5: Case-Sensitive Password &amp; Token Verification</t>
  </si>
  <si>
    <t>EXACT</t>
  </si>
  <si>
    <t>Intermediate</t>
  </si>
  <si>
    <t>Audit security logs require checking if the entered token in A6 exactly matches the server secret in B6 (case-sensitive).</t>
  </si>
  <si>
    <t>EXACT performs a strict case-sensitive binary string comparison. Standard =A6=B6 would return TRUE.</t>
  </si>
  <si>
    <t xml:space="preserve">Item	101
Delivered</t>
  </si>
  <si>
    <t>"Item101Delivered"</t>
  </si>
  <si>
    <t>Q6: Stripping Non-Printable ASCII 0-31 Control Characters</t>
  </si>
  <si>
    <t>CLEAN</t>
  </si>
  <si>
    <t>Legacy ERP database exports insert invisible ASCII 0-31 control characters, tab stops, and line feeds.</t>
  </si>
  <si>
    <t>CLEAN strips unprintable characters (ASCII 0 to 31) from the text.</t>
  </si>
  <si>
    <t xml:space="preserve">  ACCOUNTS   PAYABLE  
  AUDIT  </t>
  </si>
  <si>
    <t>"Accounts Payable Audit"</t>
  </si>
  <si>
    <t>Q7: Chained 3-Stage Data Cleansing Pipeline</t>
  </si>
  <si>
    <t>TRIM, CLEAN &amp; PROPER</t>
  </si>
  <si>
    <t>Advanced</t>
  </si>
  <si>
    <t>Execute a full ETL cleansing pipeline on a single dirty string containing line feeds, outer spaces, and mixed case.</t>
  </si>
  <si>
    <t>PROPER capitalizes words -&gt; CLEAN strips line feeds -&gt; TRIM condenses remaining spaces.</t>
  </si>
  <si>
    <t>TOTAL_EXPENSES</t>
  </si>
  <si>
    <t>"total_expenses"</t>
  </si>
  <si>
    <t>Q8: Database Schema Column Name Normalization</t>
  </si>
  <si>
    <t>LOWER</t>
  </si>
  <si>
    <t>Normalize uppercase SQL database column names into snake_case compliant field identifiers.</t>
  </si>
  <si>
    <t>LOWER converts all alphabetic characters to lowercase while preserving underscores.</t>
  </si>
  <si>
    <t>mcdonald</t>
  </si>
  <si>
    <t>"Mcdonald"</t>
  </si>
  <si>
    <t>Q9: Surnames with Internal Capitalization Edge Cases</t>
  </si>
  <si>
    <t>PROPER (Edge-Case Study)</t>
  </si>
  <si>
    <t>Examine PROPER behavior on Scottish surnames (e.g. McDonald).</t>
  </si>
  <si>
    <t>PROPER capitalizes the first character only. Compound internal capitals require custom formula slicing.</t>
  </si>
  <si>
    <t>₹ 50,000</t>
  </si>
  <si>
    <t>"₹ 50,000"</t>
  </si>
  <si>
    <t>Q10: Web Non-Breaking Space (CHAR 160) Cleansing</t>
  </si>
  <si>
    <t>TRIM, SUBSTITUTE &amp; CHAR</t>
  </si>
  <si>
    <t>Data scraped from HTML web tables contains non-breaking spaces (ASCII 160) which standard TRIM cannot remove.</t>
  </si>
  <si>
    <t>SUBSTITUTE replaces CHAR(160) with standard space CHAR(32); TRIM then eliminates surrounding whitespace.</t>
  </si>
  <si>
    <t>MKT-23-8491</t>
  </si>
  <si>
    <t>"MKT"</t>
  </si>
  <si>
    <t>Q1: Department Prefix Extraction</t>
  </si>
  <si>
    <t>LEFT</t>
  </si>
  <si>
    <t>Staff badges are structured as DEP-YY-SERIAL. Extract the 3-character departmental prefix.</t>
  </si>
  <si>
    <t>LEFT(A2, 3) takes the first 3 characters starting from index 1.</t>
  </si>
  <si>
    <t>WB-HYD-50284</t>
  </si>
  <si>
    <t>50284</t>
  </si>
  <si>
    <t>Q2: Numeric Serial Suffix Extraction &amp; Coercion</t>
  </si>
  <si>
    <t>RIGHT &amp; Double Unary (--)</t>
  </si>
  <si>
    <t>Extract the trailing 5-digit serial number from barcode labels and convert it to a real calculable integer.</t>
  </si>
  <si>
    <t>RIGHT(A3, 5) extracts "50284"; double unary (--) coerces the text string into a numeric integer.</t>
  </si>
  <si>
    <t>KOL-2025-BATCH09</t>
  </si>
  <si>
    <t>"2025"</t>
  </si>
  <si>
    <t>Q3: Fixed Middle Token Extraction</t>
  </si>
  <si>
    <t>MID</t>
  </si>
  <si>
    <t>Extract the 4-digit calendar year token starting at character position 5 from component lot codes.</t>
  </si>
  <si>
    <t>MID(A4, 5, 4) starts at index 5 and extracts exactly 4 characters.</t>
  </si>
  <si>
    <t>tuhina.das@codernaccotax.co.in</t>
  </si>
  <si>
    <t>"tuhina.das"</t>
  </si>
  <si>
    <t>Q4: Dynamic Username Parsing Before Delimiter</t>
  </si>
  <si>
    <t>LEFT &amp; FIND</t>
  </si>
  <si>
    <t>Extract variable-length username prefix appearing prior to the "@" sign.</t>
  </si>
  <si>
    <t>FIND("@", A5) locates the delimiter index; LEFT extracts characters up to index - 1.</t>
  </si>
  <si>
    <t>debangshu.roy@codernaccotax.co.in</t>
  </si>
  <si>
    <t>"codernaccotax.co.in"</t>
  </si>
  <si>
    <t>Q5: Dynamic Domain Name Parsing After Delimiter</t>
  </si>
  <si>
    <t>MID, FIND &amp; LEN</t>
  </si>
  <si>
    <t>Extract domain hostnames following the "@" symbol across variable length strings.</t>
  </si>
  <si>
    <t>MID starts at FIND("@", A6)+1 and uses LEN(A6) as a safe upper bound.</t>
  </si>
  <si>
    <t>19ABCDE1234F1Z5</t>
  </si>
  <si>
    <t>"Valid Length"</t>
  </si>
  <si>
    <t>Q6: Character Length Audit for Tax ID Compliance</t>
  </si>
  <si>
    <t>LEN &amp; IF</t>
  </si>
  <si>
    <t>Verify if Indian GSTIN registration numbers have exactly 15 alphanumeric characters.</t>
  </si>
  <si>
    <t>LEN(A7) counts total characters; IF validates whether the count equals 15.</t>
  </si>
  <si>
    <t>INV-2026-CONFIDENTIAL-PAID</t>
  </si>
  <si>
    <t>TRUE</t>
  </si>
  <si>
    <t>Q7: Case-Insensitive Substring Search</t>
  </si>
  <si>
    <t>SEARCH &amp; ISNUMBER</t>
  </si>
  <si>
    <t>Check if memo strings contain the keyword "confidential" regardless of upper/lower casing.</t>
  </si>
  <si>
    <t>SEARCH is case-insensitive and returns the character index; ISNUMBER returns TRUE if found.</t>
  </si>
  <si>
    <t>Error 404: Page Not Found in Server 404</t>
  </si>
  <si>
    <t>37</t>
  </si>
  <si>
    <t>Q8: Starting Offset Position Search (2nd Occurrence)</t>
  </si>
  <si>
    <t>FIND with start_num</t>
  </si>
  <si>
    <t>Find the starting character position of the second occurrence of "404" in system logs.</t>
  </si>
  <si>
    <t>Supplying start_num = 12 skips the first instance at index 7 and locates the second instance at index 37.</t>
  </si>
  <si>
    <t>Subhashree Chattopadhyay</t>
  </si>
  <si>
    <t>"Chattopadhyay"</t>
  </si>
  <si>
    <t>Q9: Dynamic Last Name Extraction</t>
  </si>
  <si>
    <t>RIGHT, LEN &amp; FIND</t>
  </si>
  <si>
    <t>Extract variable-length surnames appearing after the single space delimiter.</t>
  </si>
  <si>
    <t>LEN(A10) - FIND(" ", A10) calculates the exact length of the surname, which RIGHT slices cleanly.</t>
  </si>
  <si>
    <t>REF#98421:Approved</t>
  </si>
  <si>
    <t>"98421"</t>
  </si>
  <si>
    <t>Q10: Substring Extraction Between Two Distinct Delimiters</t>
  </si>
  <si>
    <t>MID &amp; Dual FIND</t>
  </si>
  <si>
    <t>Extract the numerical tracking reference located between "#" and ":".</t>
  </si>
  <si>
    <t>Find the start after "#" and calculate the character length between ":" and "#".</t>
  </si>
  <si>
    <t>Swadeep</t>
  </si>
  <si>
    <t>Banerjee</t>
  </si>
  <si>
    <t>Q1: Basic Full Name Assembly via Ampersand (&amp;)</t>
  </si>
  <si>
    <t>&amp; Operator</t>
  </si>
  <si>
    <t>Combine First Name in A2 and Last Name in B2 into a standard Full Name string.</t>
  </si>
  <si>
    <t>The &amp; operator concatenates strings with an explicit space separator " ".</t>
  </si>
  <si>
    <t>Excel</t>
  </si>
  <si>
    <t>VBA</t>
  </si>
  <si>
    <t>SQL</t>
  </si>
  <si>
    <t>"Excel, VBA, SQL"</t>
  </si>
  <si>
    <t>Q2: Skill Tags Combination with Blank Suppression</t>
  </si>
  <si>
    <t>TEXTJOIN</t>
  </si>
  <si>
    <t>Join candidate technical skills across columns while automatically skipping empty blank cells.</t>
  </si>
  <si>
    <t>TEXTJOIN with ignore_empty = TRUE skips empty cells without creating double delimiters (", ,").</t>
  </si>
  <si>
    <t>14 Riverside Road</t>
  </si>
  <si>
    <t>Barrackpore</t>
  </si>
  <si>
    <t>West Bengal</t>
  </si>
  <si>
    <t>700120</t>
  </si>
  <si>
    <t>"14 Riverside Road\nBarrackpore\nWest Bengal - 700120"</t>
  </si>
  <si>
    <t>Q3: Multi-Line Mailing Label Generation</t>
  </si>
  <si>
    <t>TEXTJOIN &amp; CHAR(10)</t>
  </si>
  <si>
    <t>Assemble a multi-line postal shipping label in a single cell using in-cell line feeds.</t>
  </si>
  <si>
    <t>CHAR(10) creates line feeds; combine State and PIN before joining with Address and City.</t>
  </si>
  <si>
    <t>Q1</t>
  </si>
  <si>
    <t>Q2</t>
  </si>
  <si>
    <t>Q3</t>
  </si>
  <si>
    <t>Q4</t>
  </si>
  <si>
    <t>"Q1Q2Q3Q4"</t>
  </si>
  <si>
    <t>Q4: Contiguous Range Concatenation</t>
  </si>
  <si>
    <t>CONCAT</t>
  </si>
  <si>
    <t>Join an array of 4 quarter codes into a continuous string without individual arguments.</t>
  </si>
  <si>
    <t>CONCAT accepts range arguments (A5:D5) natively unlike legacy CONCATENATE.</t>
  </si>
  <si>
    <t>Aniket Verma</t>
  </si>
  <si>
    <t>"Employee: Aniket Verma | Total CTC: ₹12,50,000.00"</t>
  </si>
  <si>
    <t>Q5: Embedding Formatted Numbers Inside Text Strings</t>
  </si>
  <si>
    <t>&amp; and TEXT</t>
  </si>
  <si>
    <t>Build executive summary cards embedding formatted Indian currency numbers into text sentences.</t>
  </si>
  <si>
    <t>Wrap numeric values in TEXT(val, "mask") so currency symbols and thousand commas are preserved.</t>
  </si>
  <si>
    <t>1001</t>
  </si>
  <si>
    <t>1002</t>
  </si>
  <si>
    <t>1003</t>
  </si>
  <si>
    <t>1004</t>
  </si>
  <si>
    <t>"'1001', '1002', '1003', '1004'"</t>
  </si>
  <si>
    <t>Q6: SQL IN Clause Query String Generation</t>
  </si>
  <si>
    <t>TEXTJOIN &amp; Quotes</t>
  </si>
  <si>
    <t>Generate SQL WHERE ID IN ('1001', '1002', ...) parameter arrays from Excel rows.</t>
  </si>
  <si>
    <t>Use delimiter "', '" and wrap exterior with single quote literals "'".</t>
  </si>
  <si>
    <t>Invoice</t>
  </si>
  <si>
    <t>"Invoice-00452"</t>
  </si>
  <si>
    <t>Q7: Fixed-Width Zero-Padded Document Identifiers</t>
  </si>
  <si>
    <t>Create standardized 5-digit zero-padded invoice numbers (e.g. Invoice-00452).</t>
  </si>
  <si>
    <t>TEXT(B8, "00000") pads integer 452 with leading zeros to 5 digits.</t>
  </si>
  <si>
    <t>FIN</t>
  </si>
  <si>
    <t>AUDIT</t>
  </si>
  <si>
    <t>2026</t>
  </si>
  <si>
    <t>001</t>
  </si>
  <si>
    <t>"FIN-AUDIT-2026-001"</t>
  </si>
  <si>
    <t>Q8: Standardized Multi-Token Asset SKU Creation</t>
  </si>
  <si>
    <t>Assemble standardized hyphenated asset barcodes from 4 discrete parameter cells.</t>
  </si>
  <si>
    <t>TEXTJOIN("-", TRUE, A9:D9) joins all 4 tokens separated by hyphens.</t>
  </si>
  <si>
    <t>Subhajit</t>
  </si>
  <si>
    <t>Pal</t>
  </si>
  <si>
    <t>subhajit.pal@codernaccotax.co.in</t>
  </si>
  <si>
    <t>"Subhajit Pal &lt;subhajit.pal@codernaccotax.co.in&gt;"</t>
  </si>
  <si>
    <t>Q9: RFC 2822 Email Header Assembly</t>
  </si>
  <si>
    <t>Format email recipients as "First Last &lt;email@domain.com&gt;" for bulk mail merge.</t>
  </si>
  <si>
    <t>Concatenate name parts with angle bracket delimiters enclosing email.</t>
  </si>
  <si>
    <t>Kolkata</t>
  </si>
  <si>
    <t>Delhi</t>
  </si>
  <si>
    <t>Mumbai</t>
  </si>
  <si>
    <t>Bengaluru</t>
  </si>
  <si>
    <t>"Kolkata → Delhi → Mumbai → Bengaluru"</t>
  </si>
  <si>
    <t>Q10: Flight Route &amp; Supply Chain Path Sequencing</t>
  </si>
  <si>
    <t>TEXTJOIN with Unicode Arrow</t>
  </si>
  <si>
    <t>Create visual multi-city flight and logistics itineraries connected by arrow symbols.</t>
  </si>
  <si>
    <t>TEXTJOIN with Unicode arrow " → " connects all route waypoint cells.</t>
  </si>
  <si>
    <t>PROMO2025</t>
  </si>
  <si>
    <t>Promo2025</t>
  </si>
  <si>
    <t>Q1: Case-Sensitive Promo Code Validation</t>
  </si>
  <si>
    <t>Verify whether promo coupon entries match master uppercase tokens exactly.</t>
  </si>
  <si>
    <t>EXACT verifies strict character case matching.</t>
  </si>
  <si>
    <t>4532890123456789</t>
  </si>
  <si>
    <t>"XXXXXXXXXXXX6789"</t>
  </si>
  <si>
    <t>Q2: Credit Card Masking (PCI-DSS Compliance)</t>
  </si>
  <si>
    <t>REPLACE</t>
  </si>
  <si>
    <t>Mask the first 12 digits of a 16-digit payment card number with "X" characters.</t>
  </si>
  <si>
    <t>REPLACE(A3, 1, 12, "XXXXXXXXXXXX") overwrites characters 1 to 12 with 12 Xs.</t>
  </si>
  <si>
    <t>KOL-FIN-2025-001</t>
  </si>
  <si>
    <t>"KOL-FIN/2025-001"</t>
  </si>
  <si>
    <t>Q3: Specific N-th Delimiter Replacement</t>
  </si>
  <si>
    <t>SUBSTITUTE (instance_num)</t>
  </si>
  <si>
    <t>Replace only the second hyphen with a slash while preserving all other hyphens.</t>
  </si>
  <si>
    <t>Supplying instance_num = 2 targets only the 2nd occurrence of "-".</t>
  </si>
  <si>
    <t>URGENT,RECONCILED,FLAGGED,PENDING,AUDIT</t>
  </si>
  <si>
    <t>5</t>
  </si>
  <si>
    <t>Q4: Counting Comma-Separated Items in a Cell</t>
  </si>
  <si>
    <t>LEN &amp; SUBSTITUTE</t>
  </si>
  <si>
    <t>Count total items in a comma-delimited audit status list.</t>
  </si>
  <si>
    <t>Total items = (Original Length - Length without commas) + 1.</t>
  </si>
  <si>
    <t>₹ 95,000</t>
  </si>
  <si>
    <t>"₹ 95,000"</t>
  </si>
  <si>
    <t>Q5: Non-Breaking Space (CHAR 160) Substitution</t>
  </si>
  <si>
    <t>Sanitize web-scraped financial figures containing ASCII 160 non-breaking spaces.</t>
  </si>
  <si>
    <t>Convert CHAR(160) to standard space CHAR(32) before trimming.</t>
  </si>
  <si>
    <t>(033) 2456-7890</t>
  </si>
  <si>
    <t>"03324567890"</t>
  </si>
  <si>
    <t>Q6: Multi-Character Nested Phone Stripping</t>
  </si>
  <si>
    <t>Nested SUBSTITUTE</t>
  </si>
  <si>
    <t>Strip parentheses, spaces, and hyphens from landline phone numbers in one formula.</t>
  </si>
  <si>
    <t>Chain 4 nested SUBSTITUTE functions to remove each punctuation mark sequentially.</t>
  </si>
  <si>
    <t>annual_report_2026.png</t>
  </si>
  <si>
    <t>"annual_report_2026.webp"</t>
  </si>
  <si>
    <t>Q7: Dynamic File Extension Swapping</t>
  </si>
  <si>
    <t>REPLACE &amp; FIND</t>
  </si>
  <si>
    <t>Change file extensions from .png to modern .webp regardless of filename length.</t>
  </si>
  <si>
    <t>Locate period position via FIND and replace remaining characters with "webp".</t>
  </si>
  <si>
    <t>Batch-v1-prod-V1-final</t>
  </si>
  <si>
    <t>"Batch-v1-prod-V2-final"</t>
  </si>
  <si>
    <t>Q8: Case-Sensitive Substitution Match</t>
  </si>
  <si>
    <t>SUBSTITUTE</t>
  </si>
  <si>
    <t>Replace uppercase "V1" with "V2" without altering lowercase "v1".</t>
  </si>
  <si>
    <t>SUBSTITUTE is strictly case-sensitive, replacing only exact uppercase "V1".</t>
  </si>
  <si>
    <t>C:/Reports/Financials/2026/Q4_Audit.xlsx</t>
  </si>
  <si>
    <t>"C:/Reports/Financials/2026|Q4_Audit.xlsx"</t>
  </si>
  <si>
    <t>Q9: Replacing Only the Last Delimiter in a Path</t>
  </si>
  <si>
    <t>SUBSTITUTE &amp; Dynamic Instance</t>
  </si>
  <si>
    <t>Replace the final slash before the filename with a pipe character.</t>
  </si>
  <si>
    <t>Calculate total slash count using LEN difference and feed it into instance_num.</t>
  </si>
  <si>
    <t>EMP1008</t>
  </si>
  <si>
    <t>"EMP-1008"</t>
  </si>
  <si>
    <t>Q10: Zero-Character Insertion via REPLACE</t>
  </si>
  <si>
    <t>REPLACE (0 chars)</t>
  </si>
  <si>
    <t>Insert a hyphen between letters and numbers without overwriting existing characters.</t>
  </si>
  <si>
    <t>Setting num_chars = 0 inserts text at start_num without deleting characters.</t>
  </si>
  <si>
    <t>"₹18,49,200.75"</t>
  </si>
  <si>
    <t>Q1: Indian Lakh/Crore Currency Formatting</t>
  </si>
  <si>
    <t>TEXT</t>
  </si>
  <si>
    <t>Format numeric revenue in Indian Lakh/Crore comma grouping system with rupee symbol.</t>
  </si>
  <si>
    <t>Format mask "₹#,##,##0.00" groups thousands and lakhs correctly.</t>
  </si>
  <si>
    <t>1.250.450,85 €</t>
  </si>
  <si>
    <t>1250450.85</t>
  </si>
  <si>
    <t>Q2: European Decimal/Period Number Parsing</t>
  </si>
  <si>
    <t>NUMBERVALUE &amp; SUBSTITUTE</t>
  </si>
  <si>
    <t>Parse German/European invoice numbers where commas are decimals and periods are thousand separators.</t>
  </si>
  <si>
    <t>NUMBERVALUE(text, ",", ".") specifies comma decimal and period thousand separator.</t>
  </si>
  <si>
    <t xml:space="preserve"> 42.50 </t>
  </si>
  <si>
    <t>42.5</t>
  </si>
  <si>
    <t>Q3: Standard Text Number Coercion</t>
  </si>
  <si>
    <t>VALUE</t>
  </si>
  <si>
    <t>Convert left-aligned text strings into real calculable floating-point numbers.</t>
  </si>
  <si>
    <t>VALUE parses text representations of numbers into true numeric values.</t>
  </si>
  <si>
    <t>"Friday, 15 August 2025"</t>
  </si>
  <si>
    <t>Q4: Full Formal Date String Formatting</t>
  </si>
  <si>
    <t>TEXT (Date Mask)</t>
  </si>
  <si>
    <t>Format serial date numbers into formal board-level report dates with full weekday and month names.</t>
  </si>
  <si>
    <t>Mask "dddd, dd mmmm yyyy" produces "Friday, 15 August 2025".</t>
  </si>
  <si>
    <t>"18.8%"</t>
  </si>
  <si>
    <t>Q5: Percentage Formatting with Rounding</t>
  </si>
  <si>
    <t>TEXT (Percent Mask)</t>
  </si>
  <si>
    <t>Convert decimal multipliers to rounded percentage strings for executive dashboards.</t>
  </si>
  <si>
    <t>Mask "0.0%" multiplies by 100 and formats to 1 decimal place with "%".</t>
  </si>
  <si>
    <t>"36:00:00"</t>
  </si>
  <si>
    <t>Q6: Elapsed Time Exceeding 24 Hours</t>
  </si>
  <si>
    <t>TEXT ([h] Mask)</t>
  </si>
  <si>
    <t>Format cumulative machine run hours exceeding 24 hours without resetting to 0.</t>
  </si>
  <si>
    <t>Enclosing hours in square brackets [h] instructs Excel to display total elapsed hours.</t>
  </si>
  <si>
    <t>"+91 98301-23456"</t>
  </si>
  <si>
    <t>Q7: Telephone Number Formatting Mask</t>
  </si>
  <si>
    <t>Format 10-digit mobile integers into standard national telephone display syntax.</t>
  </si>
  <si>
    <t>Mask "+91 00000-00000" formats raw integer digits into grouped phone format.</t>
  </si>
  <si>
    <t>"$12.45M"</t>
  </si>
  <si>
    <t>Q8: Financial Millions Scaling Mask</t>
  </si>
  <si>
    <t>TEXT (Double Comma Scaling)</t>
  </si>
  <si>
    <t>Format large eight-figure financial revenues scaled down to Millions ($M).</t>
  </si>
  <si>
    <t>Two trailing commas (,,) divide the number by 1,000,000 for compact reporting.</t>
  </si>
  <si>
    <t>"($4,500.50)"</t>
  </si>
  <si>
    <t>Q9: 4-Section Accounting Format Specification</t>
  </si>
  <si>
    <t>TEXT (Accounting Mask)</t>
  </si>
  <si>
    <t>Apply standard 4-section accounting format (Positive; Negative; Zero; Text).</t>
  </si>
  <si>
    <t>Enclose negative numbers in accounting parentheses and display zero as hyphen.</t>
  </si>
  <si>
    <t>"Report Date: 15-Aug-2025 | Revenue: $485,000"</t>
  </si>
  <si>
    <t>Q10: Composite Headline KPI String Generation</t>
  </si>
  <si>
    <t>&amp; and Dual TEXT</t>
  </si>
  <si>
    <t>Assemble formatted dates and revenue figures into a single headline card.</t>
  </si>
  <si>
    <t>Format date with "dd-mmm-yyyy" and revenue with "$#,##0" before string concatenation.</t>
  </si>
  <si>
    <t>45884 (15-Aug-2025)</t>
  </si>
  <si>
    <t>Q1: Safe Date Construction from Integer Tokens</t>
  </si>
  <si>
    <t>DATE</t>
  </si>
  <si>
    <t>Build valid serial dates from distinct year, month, and day integer columns.</t>
  </si>
  <si>
    <t>DATE(year, month, day) constructs an unambiguous serial date number.</t>
  </si>
  <si>
    <t>1965</t>
  </si>
  <si>
    <t>Q2: Year Component Extraction for Cohort Analysis</t>
  </si>
  <si>
    <t>YEAR</t>
  </si>
  <si>
    <t>Extract the 4-digit birth year from employee date serial numbers.</t>
  </si>
  <si>
    <t>YEAR(A3) isolates the 4-digit year component.</t>
  </si>
  <si>
    <t>15-Aug-2025</t>
  </si>
  <si>
    <t>45884 (15-08-2025)</t>
  </si>
  <si>
    <t>Q3: Text Date String to Serial Number Conversion</t>
  </si>
  <si>
    <t>DATEVALUE</t>
  </si>
  <si>
    <t>Convert imported text dates into real Excel date serial numbers.</t>
  </si>
  <si>
    <t>DATEVALUE converts recognizable date strings into integer serial dates.</t>
  </si>
  <si>
    <t>5 (Friday)</t>
  </si>
  <si>
    <t>Q4: Weekday Number Extraction (Monday = 1)</t>
  </si>
  <si>
    <t>WEEKDAY (return_type 2)</t>
  </si>
  <si>
    <t>Determine weekday indices where Monday=1 through Sunday=7 for shift scheduling.</t>
  </si>
  <si>
    <t>WEEKDAY with return_type 2 maps Monday=1 and Friday=5.</t>
  </si>
  <si>
    <t>45974 (13-Nov-2025)</t>
  </si>
  <si>
    <t>Q5: Simple Calendar Day Addition</t>
  </si>
  <si>
    <t>+ Operator</t>
  </si>
  <si>
    <t>Calculate warranty expiration date exactly 90 calendar days post purchase.</t>
  </si>
  <si>
    <t>Because dates are integer day counters, adding 90 advances the date by 90 days.</t>
  </si>
  <si>
    <t>"Weekday"</t>
  </si>
  <si>
    <t>Q6: Business vs Weekend Classification Rule</t>
  </si>
  <si>
    <t>IF &amp; WEEKDAY</t>
  </si>
  <si>
    <t>Flag whether invoice settlement dates fall on a weekend (Saturday/Sunday).</t>
  </si>
  <si>
    <t>WEEKDAY(date, 2) &gt;= 6 identifies Saturday (6) and Sunday (7).</t>
  </si>
  <si>
    <t>45900 (31-Aug-2025)</t>
  </si>
  <si>
    <t>Q7: Month-End Date Calculation via DATE Day 0</t>
  </si>
  <si>
    <t>DATE (Day 0 Trick)</t>
  </si>
  <si>
    <t>Find the last calendar day of the month without using EOMONTH.</t>
  </si>
  <si>
    <t>Supplying day 0 of month + 1 automatically rolls back to the last day of the current month.</t>
  </si>
  <si>
    <t>"Q3"</t>
  </si>
  <si>
    <t>Q8: Calendar Quarter Derivation from Date</t>
  </si>
  <si>
    <t>ROUNDUP &amp; MONTH</t>
  </si>
  <si>
    <t>Derive calendar quarter (Q1-Q4) dynamically from transaction dates.</t>
  </si>
  <si>
    <t>Dividing month (1-12) by 3 and rounding up computes the quarter number.</t>
  </si>
  <si>
    <t>227</t>
  </si>
  <si>
    <t>Q9: Inclusive Days Count Between Two Dates</t>
  </si>
  <si>
    <t>- Operator (+1)</t>
  </si>
  <si>
    <t>Calculate total inclusive days in a project sprint window.</t>
  </si>
  <si>
    <t>Subtracting start date from end date and adding 1 gives inclusive calendar days.</t>
  </si>
  <si>
    <t>45658 (01-Jan-2025)</t>
  </si>
  <si>
    <t>Q10: First Day of Year (YTD Base) Date</t>
  </si>
  <si>
    <t>DATE &amp; YEAR</t>
  </si>
  <si>
    <t>Determine January 1 of the current transaction year for YTD aggregations.</t>
  </si>
  <si>
    <t>DATE(YEAR(A11), 1, 1) returns January 1 of that year.</t>
  </si>
  <si>
    <t>"Dynamic Category"</t>
  </si>
  <si>
    <t>Q1: Accounts Receivable Overdue Aging Buckets</t>
  </si>
  <si>
    <t>IFS &amp; TODAY</t>
  </si>
  <si>
    <t>Categorize overdue invoices into 30-day aging buckets based on days elapsed.</t>
  </si>
  <si>
    <t>TODAY() - A2 computes elapsed days; IFS evaluates aging tier thresholds.</t>
  </si>
  <si>
    <t>46433 (15-Feb-2027)</t>
  </si>
  <si>
    <t>Q2: Future Date Shift by N Calendar Months</t>
  </si>
  <si>
    <t>EDATE</t>
  </si>
  <si>
    <t>Calculate maturity date for an 18-month commercial deposit.</t>
  </si>
  <si>
    <t>EDATE(date, 18) shifts exactly 18 calendar months forward.</t>
  </si>
  <si>
    <t>45716 (28-Feb-2025)</t>
  </si>
  <si>
    <t>Q3: Month-End Date Calculation (EOMONTH)</t>
  </si>
  <si>
    <t>EOMONTH</t>
  </si>
  <si>
    <t>Calculate invoice month-end cutoff date for accounting accruals.</t>
  </si>
  <si>
    <t>EOMONTH(date, 0) returns the last day of the current month.</t>
  </si>
  <si>
    <t>25</t>
  </si>
  <si>
    <t>Q4: Completed Years of Service (DATEDIF)</t>
  </si>
  <si>
    <t>DATEDIF ("Y")</t>
  </si>
  <si>
    <t>Calculate completed years of employee tenure between Hire Date and Evaluation Date.</t>
  </si>
  <si>
    <t>DATEDIF with code "Y" returns full completed years.</t>
  </si>
  <si>
    <t>7</t>
  </si>
  <si>
    <t>Q5: Residual Months Calculation Excluding Years</t>
  </si>
  <si>
    <t>DATEDIF ("YM")</t>
  </si>
  <si>
    <t>Extract remaining months of tenure excluding completed full years.</t>
  </si>
  <si>
    <t>DATEDIF with code "YM" returns residual months modulo 12.</t>
  </si>
  <si>
    <t>0.6202</t>
  </si>
  <si>
    <t>Q6: Actual/Actual Fractional Year Calculation</t>
  </si>
  <si>
    <t>YEARFRAC (Basis 1)</t>
  </si>
  <si>
    <t>Compute exact year fraction for bond interest accruals under Actual/Actual day counts.</t>
  </si>
  <si>
    <t>YEARFRAC with basis=1 computes exact elapsed year fraction.</t>
  </si>
  <si>
    <t>45898 (29-Aug-2025)</t>
  </si>
  <si>
    <t>Q7: Business Delivery Deadline Calculation (WORKDAY)</t>
  </si>
  <si>
    <t>WORKDAY</t>
  </si>
  <si>
    <t>Calculate delivery date 10 business days forward excluding weekends.</t>
  </si>
  <si>
    <t>WORKDAY advances by 10 business days, automatically skipping Saturdays and Sundays.</t>
  </si>
  <si>
    <t>21</t>
  </si>
  <si>
    <t>Q8: Monthly Working Days Count (NETWORKDAYS)</t>
  </si>
  <si>
    <t>NETWORKDAYS</t>
  </si>
  <si>
    <t>Calculate total working days in August 2025 for payroll proration.</t>
  </si>
  <si>
    <t>NETWORKDAYS counts Monday-Friday business days between dates.</t>
  </si>
  <si>
    <t>26</t>
  </si>
  <si>
    <t>Q9: 6-Day Workweek Business Days Calculation</t>
  </si>
  <si>
    <t>NETWORKDAYS.INTL (Sunday only weekend)</t>
  </si>
  <si>
    <t>Calculate working days for retail factory operations working Monday through Saturday.</t>
  </si>
  <si>
    <t>Weekend code 11 defines Sunday as the sole non-working weekend day.</t>
  </si>
  <si>
    <t>Q10: Last Business Day of the Month</t>
  </si>
  <si>
    <t>WORKDAY &amp; EOMONTH</t>
  </si>
  <si>
    <t>Determine the final banking business day of the current month.</t>
  </si>
  <si>
    <t>EOMONTH(A11, 0) + 1 gets the 1st of next month; WORKDAY(..., -1) finds the prior business day.</t>
  </si>
  <si>
    <t>"Subhashree"</t>
  </si>
  <si>
    <t>Q1: First Name Extraction via TEXTBEFORE</t>
  </si>
  <si>
    <t>TEXTBEFORE</t>
  </si>
  <si>
    <t>Extract first names occurring prior to the first space delimiter in modern Excel 365.</t>
  </si>
  <si>
    <t>TEXTBEFORE(A2, " ") extracts all text before the delimiter without needing FIND or LEFT.</t>
  </si>
  <si>
    <t>Dr. Anirban Kumar Mukherjee</t>
  </si>
  <si>
    <t>"Mukherjee"</t>
  </si>
  <si>
    <t>Q2: Last Name Extraction via Reverse Instance TEXTAFTER</t>
  </si>
  <si>
    <t>TEXTAFTER (-1 instance)</t>
  </si>
  <si>
    <t>Extract surnames from multi-token names by searching backwards from the end of the string.</t>
  </si>
  <si>
    <t>Supplying instance_num = -1 extracts text after the final delimiter.</t>
  </si>
  <si>
    <t>Laptops, Monitors, Keyboards, Mice</t>
  </si>
  <si>
    <t>Spilled Array: ["Laptops", "Monitors", "Keyboards", "Mice"]</t>
  </si>
  <si>
    <t>Q3: Dynamic Column-Spilled Text Splitting</t>
  </si>
  <si>
    <t>TEXTSPLIT (Column Delimiter)</t>
  </si>
  <si>
    <t>Split comma-separated inventory items across adjacent columns in a single spilled formula.</t>
  </si>
  <si>
    <t>TEXTSPLIT(A4, ", ") breaks strings into a dynamic horizontal array.</t>
  </si>
  <si>
    <t>Finance; Accounts; Engineering; HR</t>
  </si>
  <si>
    <t>Spilled Row Array: ["Finance", "Accounts", ...]</t>
  </si>
  <si>
    <t>Q4: Dynamic Vertical Row-Spilled Text Splitting</t>
  </si>
  <si>
    <t>TEXTSPLIT (Row Delimiter)</t>
  </si>
  <si>
    <t>Split semicolon-delimited departmental codes downwards across vertical rows.</t>
  </si>
  <si>
    <t>Leaving column delimiter blank and passing row delimiter "; " spills data vertically.</t>
  </si>
  <si>
    <t>1001:John;1002:Sarah;1003:Vikram</t>
  </si>
  <si>
    <t>2D Matrix: [[1001, "John"], [1002, "Sarah"], ...]</t>
  </si>
  <si>
    <t>Q5: 2D Matrix Table Generation from Key-Value Strings</t>
  </si>
  <si>
    <t>2D TEXTSPLIT</t>
  </si>
  <si>
    <t>Parse serialized key-value pairs into a structured 2-column by 3-row grid in one formula.</t>
  </si>
  <si>
    <t>Supplying ":" as column delimiter and ";" as row delimiter generates a 2D table.</t>
  </si>
  <si>
    <t>Customer Ref: [CR-98421] - Verified</t>
  </si>
  <si>
    <t>"CR-98421"</t>
  </si>
  <si>
    <t>Q6: Token Extraction Inside Bracket Enclosures</t>
  </si>
  <si>
    <t>TEXTBEFORE &amp; TEXTAFTER</t>
  </si>
  <si>
    <t>Extract tracking codes enclosed within square brackets.</t>
  </si>
  <si>
    <t>TEXTAFTER isolates text following "["; TEXTBEFORE trims off everything following "]".</t>
  </si>
  <si>
    <t>Annual-Report-2026-Final-v3.pdf</t>
  </si>
  <si>
    <t>"v3.pdf"</t>
  </si>
  <si>
    <t>Q7: Extracting Final Segment of Hyphenated Filenames</t>
  </si>
  <si>
    <t>TEXTAFTER (-1)</t>
  </si>
  <si>
    <t>Extract release version suffix appearing after the last hyphen.</t>
  </si>
  <si>
    <t>Negative instance -1 matches the last hyphen in the string.</t>
  </si>
  <si>
    <t xml:space="preserve">  Alpha ,  Beta ,  Gamma  </t>
  </si>
  <si>
    <t>Spilled Clean Array: ["Alpha", "Beta", "Gamma"]</t>
  </si>
  <si>
    <t>Q8: Dynamic Array Whitespace Trimming</t>
  </si>
  <si>
    <t>TRIM &amp; TEXTSPLIT</t>
  </si>
  <si>
    <t>Split messy delimited strings and sanitize whitespace across all spilled elements.</t>
  </si>
  <si>
    <t>TRIM operates directly on dynamic array results generated by TEXTSPLIT.</t>
  </si>
  <si>
    <t>EMP#1042</t>
  </si>
  <si>
    <t>"General-Staff"</t>
  </si>
  <si>
    <t>Q9: Error-Safe Substring Extraction with Fallback</t>
  </si>
  <si>
    <t>TEXTAFTER (match_not_found)</t>
  </si>
  <si>
    <t>Extract department suffix after "@" or return fallback default "General-Staff" if not found.</t>
  </si>
  <si>
    <t>The 6th parameter match_not_found handles missing delimiters without throwing #N/A.</t>
  </si>
  <si>
    <t>North, South, East, West</t>
  </si>
  <si>
    <t>"North | South | East | West"</t>
  </si>
  <si>
    <t>Q10: Dynamic Delimiter Replacement Pipeline</t>
  </si>
  <si>
    <t>TEXTJOIN &amp; TEXTSPLIT</t>
  </si>
  <si>
    <t>Re-delimit comma lists into pipe-separated strings in modern Excel.</t>
  </si>
  <si>
    <t>Split by comma and rejoin with pipe delimiter in one dynamic expression.</t>
  </si>
  <si>
    <t>ELEC 2026 PRO BLK</t>
  </si>
  <si>
    <t>"ELEC-2026-PRO-BLK"</t>
  </si>
  <si>
    <t>Q1: Global Delimiter Normalization</t>
  </si>
  <si>
    <t>Replace all space separators with hyphens across SKU strings.</t>
  </si>
  <si>
    <t>Omitting instance_num replaces every occurrence of space.</t>
  </si>
  <si>
    <t>4532-8921-3456-9812</t>
  </si>
  <si>
    <t>"4532-******456-9812"</t>
  </si>
  <si>
    <t>Q2: Security Masking of Middle Account Digits</t>
  </si>
  <si>
    <t>Mask middle digits (positions 6 through 11) with asterisks for security compliance.</t>
  </si>
  <si>
    <t>REPLACE starts at index 6 and replaces 6 characters with 6 asterisks.</t>
  </si>
  <si>
    <t>Electronics/Audio/Wireless/Headphones</t>
  </si>
  <si>
    <t>"Electronics/Audio -&gt; Wireless/Headphones"</t>
  </si>
  <si>
    <t>Q3: Breadcrumb Navigation Delimiter Replacement</t>
  </si>
  <si>
    <t>SUBSTITUTE (instance 2)</t>
  </si>
  <si>
    <t>Replace only the 2nd category slash with an arrow indicator.</t>
  </si>
  <si>
    <t>Instance parameter 2 targets only the second slash occurrence.</t>
  </si>
  <si>
    <t>Q4: Counting Delimited Items via String Subtraction</t>
  </si>
  <si>
    <t>Count total items in a comma-delimited status string.</t>
  </si>
  <si>
    <t>Subtract length without commas from total length and add 1.</t>
  </si>
  <si>
    <t>Q5: Non-Breaking Space Sanitization</t>
  </si>
  <si>
    <t>Clean web non-breaking spaces (ASCII 160) before downstream processing.</t>
  </si>
  <si>
    <t>Replace CHAR(160) with standard space CHAR(32) before trimming.</t>
  </si>
  <si>
    <t>Q6: Chained 4-Stage Punctuation Stripping</t>
  </si>
  <si>
    <t>Strip parentheses, spaces, and hyphens from landline phone numbers.</t>
  </si>
  <si>
    <t>Nest 4 SUBSTITUTE calls to remove each character sequentially.</t>
  </si>
  <si>
    <t>Q7: Dynamic Extension Modification</t>
  </si>
  <si>
    <t>Update image extension from png to webp dynamically.</t>
  </si>
  <si>
    <t>Locate period position and replace remaining characters with "webp".</t>
  </si>
  <si>
    <t>Replace uppercase "V1" with "V2" while preserving lowercase "v1".</t>
  </si>
  <si>
    <t>SUBSTITUTE is strictly case-sensitive.</t>
  </si>
  <si>
    <t>Q9: Dynamic Last Delimiter Replacement</t>
  </si>
  <si>
    <t>SUBSTITUTE &amp; LEN Math</t>
  </si>
  <si>
    <t>Replace only the final slash before the filename with a pipe character.</t>
  </si>
  <si>
    <t>Count total slashes and use that integer as instance_num in SUBSTITUTE.</t>
  </si>
  <si>
    <t>Q10: Character Insertion without Deletion</t>
  </si>
  <si>
    <t>REPLACE (num_chars = 0)</t>
  </si>
  <si>
    <t>Insert a hyphen at position 4 without removing any characters.</t>
  </si>
  <si>
    <t>Setting num_chars = 0 inserts new text cleanly.</t>
  </si>
  <si>
    <t>$4,500.50</t>
  </si>
  <si>
    <t>4500.50</t>
  </si>
  <si>
    <t>Q1: Left-Aligned Currency Text to Calculable Float</t>
  </si>
  <si>
    <t>Convert currency formatted strings into true calculable floating point numbers.</t>
  </si>
  <si>
    <t>VALUE parses standard currency symbols and commas into true numbers.</t>
  </si>
  <si>
    <t>1.250.500,75 €</t>
  </si>
  <si>
    <t>1250500.75</t>
  </si>
  <si>
    <t>NUMBERVALUE</t>
  </si>
  <si>
    <t>Parse European numbers where comma is decimal and period is thousand separator.</t>
  </si>
  <si>
    <t>NUMBERVALUE(A3, ",", ".") specifies comma decimal and period thousand separator.</t>
  </si>
  <si>
    <t>20260415</t>
  </si>
  <si>
    <t>46127 (15-Apr-2026)</t>
  </si>
  <si>
    <t>Q3: YYYYMMDD Text Date to Real Serial Date</t>
  </si>
  <si>
    <t>DATE, LEFT, MID &amp; RIGHT</t>
  </si>
  <si>
    <t>Parse unseparated YYYYMMDD date strings from mainframe logs into real dates.</t>
  </si>
  <si>
    <t>Slice year, month, and day components into DATE(year, month, day).</t>
  </si>
  <si>
    <t>08:45:30 PM</t>
  </si>
  <si>
    <t>0.864930556 (20:45:30)</t>
  </si>
  <si>
    <t>Q4: 12-Hour Text Timestamp to Time Serial</t>
  </si>
  <si>
    <t>TIMEVALUE</t>
  </si>
  <si>
    <t>Convert 12-hour AM/PM time strings into true Excel time decimals.</t>
  </si>
  <si>
    <t>TIMEVALUE parses time strings into fractional day decimals.</t>
  </si>
  <si>
    <t>1,200.00 LTRS</t>
  </si>
  <si>
    <t>1200.00</t>
  </si>
  <si>
    <t>Q5: Quantity Extraction from Unit Strings</t>
  </si>
  <si>
    <t>VALUE &amp; TEXTBEFORE</t>
  </si>
  <si>
    <t>Extract and convert numerical quantities embedded with unit labels.</t>
  </si>
  <si>
    <t>TEXTBEFORE extracts the number string before unit label; VALUE converts to number.</t>
  </si>
  <si>
    <t>18.00 %</t>
  </si>
  <si>
    <t>0.18</t>
  </si>
  <si>
    <t>Q6: Percentage Strings with Trailing % to Multiplier</t>
  </si>
  <si>
    <t>Convert tax percentage text strings into decimal multipliers.</t>
  </si>
  <si>
    <t>NUMBERVALUE recognizes percent signs and converts 18.00% to decimal 0.18.</t>
  </si>
  <si>
    <t>2026-04-15T14:30:00Z</t>
  </si>
  <si>
    <t>46127.604167 (15-Apr-2026 14:30:00)</t>
  </si>
  <si>
    <t>Q7: ISO 8601 UTC Timestamp Parsing</t>
  </si>
  <si>
    <t>DATEVALUE &amp; TIMEVALUE</t>
  </si>
  <si>
    <t>Convert ISO 8601 UTC timestamps into full date+time serial numbers.</t>
  </si>
  <si>
    <t>DATEVALUE parses YYYY-MM-DD; TIMEVALUE parses HH:MM:SS; add them together.</t>
  </si>
  <si>
    <t>(1,500.00)</t>
  </si>
  <si>
    <t>-1500.00</t>
  </si>
  <si>
    <t>Q8: Accounting Parenthesis Negative Number Parsing</t>
  </si>
  <si>
    <t>Parse financial negative numbers stored in parentheses into negative floats.</t>
  </si>
  <si>
    <t>NUMBERVALUE parses parentheses as negative indicators, returning -1500.00.</t>
  </si>
  <si>
    <t>N/A</t>
  </si>
  <si>
    <t>0</t>
  </si>
  <si>
    <t>Q9: Safe Coercion with IFERROR Default Fallback</t>
  </si>
  <si>
    <t>IFERROR &amp; VALUE</t>
  </si>
  <si>
    <t>Coerce dirty numeric columns containing invalid strings ("N/A", "-") safely without errors.</t>
  </si>
  <si>
    <t>IFERROR intercepts conversion errors and substitutes default 0.</t>
  </si>
  <si>
    <t>249.99</t>
  </si>
  <si>
    <t>Q10: High-Performance Double Unary (--) Coercion</t>
  </si>
  <si>
    <t>Double Unary (--)</t>
  </si>
  <si>
    <t>Convert text numbers into real floats using high-performance double negation.</t>
  </si>
  <si>
    <t>Double unary (--) forces numeric type coercion without function call overhead.</t>
  </si>
  <si>
    <t xml:space="preserve">  sUbhAshRee   CHATTOPADHYAY  </t>
  </si>
  <si>
    <t>"Subhashree Chattopadhyay"</t>
  </si>
  <si>
    <t>Q1: Customer Name Hygiene &amp; Case Normalization</t>
  </si>
  <si>
    <t>PROPER, TRIM &amp; CLEAN</t>
  </si>
  <si>
    <t>Sanitize customer names with erratic mixed case, tabs, and multiple spaces.</t>
  </si>
  <si>
    <t>CLEAN removes unprintable chars, TRIM collapses spaces, PROPER fixes casing.</t>
  </si>
  <si>
    <t>Flat 4B, Greenfield Heights, Kolkata - 700156</t>
  </si>
  <si>
    <t>700156</t>
  </si>
  <si>
    <t>Q2: Postal PIN Code Extraction from Address</t>
  </si>
  <si>
    <t>VALUE, RIGHT &amp; TRIM</t>
  </si>
  <si>
    <t>Extract 6-digit Indian PIN codes from the end of address strings.</t>
  </si>
  <si>
    <t>TRIM removes trailing space; RIGHT extracts 6 digits; VALUE converts to number.</t>
  </si>
  <si>
    <t>124 Park Street, Kolkata, West Bengal 700016</t>
  </si>
  <si>
    <t>"Kolkata"</t>
  </si>
  <si>
    <t>Q3: Dynamic City Extraction Between Commas</t>
  </si>
  <si>
    <t>TRIM, MID &amp; Dual FIND</t>
  </si>
  <si>
    <t>Extract the city name located between the first and second commas in address strings.</t>
  </si>
  <si>
    <t>Find the first comma and second comma positions to extract the middle city token.</t>
  </si>
  <si>
    <t>098301-23456</t>
  </si>
  <si>
    <t>"+91-9830123456"</t>
  </si>
  <si>
    <t>Q4: Phone Number Standardization to +91 E.164</t>
  </si>
  <si>
    <t>SUBSTITUTE &amp; RIGHT</t>
  </si>
  <si>
    <t>Standardize irregular local mobile numbers into international +91-XXXXXXXXXX format.</t>
  </si>
  <si>
    <t>Strip hyphens and spaces, extract the rightmost 10 digits, and prepend "+91-".</t>
  </si>
  <si>
    <t>04/15/2026</t>
  </si>
  <si>
    <t>Q5: Non-Standard US Date String (MM/DD/YYYY) Parsing</t>
  </si>
  <si>
    <t>DATE, RIGHT, LEFT &amp; MID</t>
  </si>
  <si>
    <t>Convert US format date strings into universal Excel serial dates regardless of system locale.</t>
  </si>
  <si>
    <t>Extract 4-digit year, 2-digit month, and 2-digit day into DATE(year, month, day).</t>
  </si>
  <si>
    <t xml:space="preserve">  Contact_Admin@ACME-CORP.CO.IN  </t>
  </si>
  <si>
    <t>"acme-corp.co.in"</t>
  </si>
  <si>
    <t>Q6: Corporate Domain Extraction from Email</t>
  </si>
  <si>
    <t>LOWER, TRIM &amp; MID</t>
  </si>
  <si>
    <t>Isolate and lowercase corporate domain hostnames from dirty email addresses.</t>
  </si>
  <si>
    <t>MID extracts everything after "@"; LOWER normalizes casing; TRIM strips whitespace.</t>
  </si>
  <si>
    <t>Dr. Rajesh Khanna</t>
  </si>
  <si>
    <t>"Dr."</t>
  </si>
  <si>
    <t>Q7: Customer Salutation &amp; Honorific Detection</t>
  </si>
  <si>
    <t>IF, ISNUMBER, FIND &amp; LEFT</t>
  </si>
  <si>
    <t>Extract professional titles (Dr., Mr., Ms.) or return "Individual" if none exists.</t>
  </si>
  <si>
    <t>FIND checks for period in honorific; LEFT slices title token.</t>
  </si>
  <si>
    <t>Suite 500, Kolkata, WB 700091</t>
  </si>
  <si>
    <t>Spilled 3-Column Array: ["Suite 500", "Kolkata", "WB 700091"]</t>
  </si>
  <si>
    <t>Q8: Spilled Address Tokenization Across Columns</t>
  </si>
  <si>
    <t>TEXTSPLIT &amp; TRIM</t>
  </si>
  <si>
    <t>Split full addresses into Street, City, and State-Zip columns using a single spilled formula.</t>
  </si>
  <si>
    <t>TEXTSPLIT breaks on comma and TRIM removes leading/trailing spaces.</t>
  </si>
  <si>
    <t>46127.625 (15-Apr-2026 15:00:00)</t>
  </si>
  <si>
    <t>Q9: Unix Epoch Timestamp (Seconds) to DateTime</t>
  </si>
  <si>
    <t>DATE &amp; Epoch Math</t>
  </si>
  <si>
    <t>Convert Unix epoch timestamp integers into readable Excel date and time serials.</t>
  </si>
  <si>
    <t>Divide epoch seconds by 86,400 (seconds/day) and add to Jan 1, 1970 base date.</t>
  </si>
  <si>
    <t>lead:subhashree.c@corp.com|2026-04-15|approved</t>
  </si>
  <si>
    <t>"subhashree.c@corp.com (15-Apr-2026)"</t>
  </si>
  <si>
    <t>Q10: Complex Log String Parsing Pipeline</t>
  </si>
  <si>
    <t>Composite ETL Formula</t>
  </si>
  <si>
    <t>Extract customer email and formatted transaction date from structured log records.</t>
  </si>
  <si>
    <t>Combine TEXTBEFORE/TEXTAFTER for email and DATEVALUE/TEXT for formatted date.</t>
  </si>
  <si>
    <t>8.50</t>
  </si>
  <si>
    <t>Q1: Standard Daytime Shift Duration in Decimal Hours</t>
  </si>
  <si>
    <t>- Operator (* 24)</t>
  </si>
  <si>
    <t>Calculate total worked decimal hours for daytime shift (09:00 AM to 05:30 PM).</t>
  </si>
  <si>
    <t>Subtract start time from end time and multiply by 24 to convert day fraction to decimal hours.</t>
  </si>
  <si>
    <t>Q2: Overnight Graveyard Shift Crossing Midnight (MOD)</t>
  </si>
  <si>
    <t>MOD (* 24)</t>
  </si>
  <si>
    <t>Calculate shift duration when employee works across midnight (10:00 PM to 06:30 AM).</t>
  </si>
  <si>
    <t>MOD(End - Start, 1) wraps around midnight, avoiding negative time errors.</t>
  </si>
  <si>
    <t>8.75</t>
  </si>
  <si>
    <t>Q3: Net Shift Duration Deducting Lunch Break</t>
  </si>
  <si>
    <t>MOD &amp; MAX</t>
  </si>
  <si>
    <t>Deduct unpaid 45-minute lunch break from shift duration (08:30 AM to 06:00 PM).</t>
  </si>
  <si>
    <t>Subtract lunch break time fraction from gross shift time and multiply by 24.</t>
  </si>
  <si>
    <t>2.50</t>
  </si>
  <si>
    <t>Q4: Daily Statutory Overtime (Hours &gt; 8)</t>
  </si>
  <si>
    <t>MAX</t>
  </si>
  <si>
    <t>Calculate overtime hours exceeding standard 8-hour statutory threshold.</t>
  </si>
  <si>
    <t>MAX(0, Worked - 8) returns excess hours over 8 without negative numbers.</t>
  </si>
  <si>
    <t>Tier 1 OT: 4.00 hrs</t>
  </si>
  <si>
    <t>Q5: Tiered Overtime (1.5x Standard OT vs 2.0x Double Time)</t>
  </si>
  <si>
    <t>MEDIAN (Tier 1 OT)</t>
  </si>
  <si>
    <t>Calculate Tier 1 Overtime (hours 8 to 12) for a 13-hour shift.</t>
  </si>
  <si>
    <t>MEDIAN(0, 4, Hours - 8) neatly bounds Tier 1 overtime between 0 and 4 hours.</t>
  </si>
  <si>
    <t>08:00 AM (0.333333)</t>
  </si>
  <si>
    <t>Q6: Clock-In Time Rounding to Nearest 15-Minute Interval</t>
  </si>
  <si>
    <t>MROUND &amp; TIME</t>
  </si>
  <si>
    <t>Round employee clock-in punches to the nearest 15-minute payroll increment.</t>
  </si>
  <si>
    <t>MROUND(A7, TIME(0, 15, 0)) rounds to the nearest multiple of 15 minutes.</t>
  </si>
  <si>
    <t>38:30 (with [h]:mm format)</t>
  </si>
  <si>
    <t>Q7: Cumulative Weekly Hours Display Exceeding 24 Hours</t>
  </si>
  <si>
    <t>SUM with [h]:mm mask</t>
  </si>
  <si>
    <t>Sum weekly timesheet hours and format as total cumulative elapsed hours.</t>
  </si>
  <si>
    <t>Apply custom number format [h]:mm so total elapsed hours do not reset every 24h.</t>
  </si>
  <si>
    <t>12.00</t>
  </si>
  <si>
    <t>Q8: Weekend Premium Pay Multiplier (1.5x on Sat/Sun)</t>
  </si>
  <si>
    <t>Apply a 1.5x pay multiplier to shifts worked on Saturday or Sunday.</t>
  </si>
  <si>
    <t>WEEKDAY(A9, 2) &gt;= 6 checks for weekend days and applies the 1.5x factor.</t>
  </si>
  <si>
    <t>10.00</t>
  </si>
  <si>
    <t>Q9: Split Shift Combined Duration Calculation</t>
  </si>
  <si>
    <t>Dual MOD (* 24)</t>
  </si>
  <si>
    <t>Calculate combined worked hours for morning and evening split shift segments.</t>
  </si>
  <si>
    <t>Calculate each shift segment duration using MOD and sum the total hours.</t>
  </si>
  <si>
    <t>₹5,875.00</t>
  </si>
  <si>
    <t>Q10: End-to-End Gross Payroll Calculation Formula</t>
  </si>
  <si>
    <t>MIN, MAX &amp; Rate Multipliers</t>
  </si>
  <si>
    <t>Calculate total gross earnings for 10.5 hours worked at ₹500/hr base rate with 1.5x overtime.</t>
  </si>
  <si>
    <t>Regular pay = MIN(8, 10.5)*500 = ₹4,000; OT pay = MAX(0, 10.5-8)*500*1.5 = ₹1,875. Total = ₹5,875.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</si>
</sst>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38BDF8"/>
      <sz val="10"/>
      <name val="Segoe UI"/>
    </font>
    <font>
      <b/>
      <color rgb="FFF59E0B"/>
      <sz val="11"/>
      <name val="Segoe UI"/>
    </font>
    <font>
      <b/>
      <color rgb="FF0F172A"/>
      <sz val="9.5"/>
      <name val="Segoe UI"/>
    </font>
    <font>
      <b/>
      <color rgb="FF0369A1"/>
      <sz val="9.5"/>
      <name val="Segoe UI"/>
    </font>
    <font>
      <color rgb="FF0369A1"/>
      <sz val="9.5"/>
      <name val="Segoe UI"/>
    </font>
    <font>
      <b/>
      <color rgb="FFFFFFFF"/>
      <sz val="10.5"/>
      <name val="Segoe UI"/>
    </font>
    <font>
      <color rgb="FF334155"/>
      <sz val="9.5"/>
      <name val="Segoe UI"/>
    </font>
    <font>
      <b/>
      <color rgb="FFFFFFFF"/>
      <sz val="10"/>
      <name val="Segoe UI"/>
    </font>
    <font>
      <color rgb="FF1E293B"/>
      <sz val="9.5"/>
      <name val="Segoe UI"/>
    </font>
    <font>
      <b/>
      <u/>
      <color rgb="FF0284C7"/>
      <sz val="9.5"/>
      <name val="Segoe UI"/>
    </font>
    <font>
      <b/>
      <color rgb="FF059669"/>
      <sz val="9.5"/>
      <name val="Segoe UI"/>
    </font>
    <font>
      <color rgb="FF64748B"/>
      <sz val="9.5"/>
      <name val="Segoe UI"/>
    </font>
    <font>
      <b/>
      <color rgb="FF0D9488"/>
      <sz val="9.5"/>
      <name val="Segoe UI"/>
    </font>
    <font>
      <b/>
      <color rgb="FFFFFFFF"/>
      <sz val="9.5"/>
      <name val="Segoe UI"/>
    </font>
    <font>
      <color rgb="FF0F172A"/>
      <sz val="9.5"/>
      <name val="Consolas"/>
    </font>
    <font>
      <b/>
      <color rgb="FF0369A1"/>
      <sz val="9.5"/>
      <name val="Consolas"/>
    </font>
    <font>
      <b/>
      <color rgb="FF0F172A"/>
      <sz val="9"/>
      <name val="Segoe UI"/>
    </font>
    <font>
      <b/>
      <color rgb="FF0369A1"/>
      <sz val="9"/>
      <name val="Segoe UI"/>
    </font>
    <font>
      <b/>
      <color rgb="FF059669"/>
      <sz val="9"/>
      <name val="Segoe UI"/>
    </font>
    <font>
      <color rgb="FF334155"/>
      <sz val="9"/>
      <name val="Segoe UI"/>
    </font>
    <font>
      <color rgb="FF475569"/>
      <sz val="8.5"/>
      <name val="Segoe UI"/>
    </font>
    <font>
      <b/>
      <u/>
      <color rgb="FF0284C7"/>
      <sz val="9"/>
      <name val="Segoe UI"/>
    </font>
    <font>
      <b/>
      <color rgb="FFD97706"/>
      <sz val="9"/>
      <name val="Segoe UI"/>
    </font>
    <font>
      <b/>
      <color rgb="FFE11D48"/>
      <sz val="9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059669"/>
      </patternFill>
    </fill>
    <fill>
      <patternFill patternType="solid">
        <fgColor rgb="FFFEF3C7"/>
      </patternFill>
    </fill>
    <fill>
      <patternFill patternType="solid">
        <fgColor rgb="FFF0F9FF"/>
      </patternFill>
    </fill>
  </fills>
  <borders count="11">
    <border>
      <left/>
      <right/>
      <top/>
      <bottom/>
      <diagonal/>
    </border>
    <border>
      <left style="medium">
        <color rgb="FF0284C7"/>
      </left>
      <right style="thin">
        <color rgb="FFE2E8F0"/>
      </right>
      <top style="medium">
        <color rgb="FF0284C7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284C7"/>
      </top>
      <bottom style="thin">
        <color rgb="FFE2E8F0"/>
      </bottom>
      <diagonal/>
    </border>
    <border>
      <left style="medium">
        <color rgb="FF0284C7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0284C7"/>
      </left>
      <right style="thin">
        <color rgb="FFE2E8F0"/>
      </right>
      <top style="thin">
        <color rgb="FFE2E8F0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284C7"/>
      </bottom>
      <diagonal/>
    </border>
    <border>
      <left style="thin">
        <color rgb="FFBAE6FD"/>
      </left>
      <right style="thin">
        <color rgb="FFBAE6FD"/>
      </right>
      <top style="medium">
        <color rgb="FF0369A1"/>
      </top>
      <bottom style="medium">
        <color rgb="FF0369A1"/>
      </bottom>
      <diagonal/>
    </border>
    <border>
      <left style="thin">
        <color rgb="FF475569"/>
      </left>
      <right style="thin">
        <color rgb="FF475569"/>
      </right>
      <top style="medium">
        <color rgb="FF0F172A"/>
      </top>
      <bottom style="medium">
        <color rgb="FF0F172A"/>
      </bottom>
      <diagonal/>
    </border>
    <border>
      <left style="medium">
        <color rgb="FFD97706"/>
      </left>
      <right style="medium">
        <color rgb="FFD97706"/>
      </right>
      <top style="dashed">
        <color rgb="FFD97706"/>
      </top>
      <bottom style="dashed">
        <color rgb="FFD97706"/>
      </bottom>
      <diagonal/>
    </border>
    <border>
      <left style="thin">
        <color rgb="FFBAE6FD"/>
      </left>
      <right style="thin">
        <color rgb="FFBAE6FD"/>
      </right>
      <top style="thin">
        <color rgb="FFBAE6FD"/>
      </top>
      <bottom style="thin">
        <color rgb="FFBAE6FD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4" borderId="1" xfId="0" applyFill="1" applyBorder="1"/>
    <xf numFmtId="0" fontId="0" fillId="4" borderId="2" xfId="0" applyFill="1" applyBorder="1"/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0" fillId="4" borderId="3" xfId="0" applyFill="1" applyBorder="1"/>
    <xf numFmtId="0" fontId="0" fillId="4" borderId="4" xfId="0" applyFill="1" applyBorder="1"/>
    <xf numFmtId="0" fontId="4" fillId="4" borderId="4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0" fillId="4" borderId="5" xfId="0" applyFill="1" applyBorder="1"/>
    <xf numFmtId="0" fontId="0" fillId="4" borderId="6" xfId="0" applyFill="1" applyBorder="1"/>
    <xf numFmtId="0" fontId="4" fillId="4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 indent="1"/>
    </xf>
    <xf numFmtId="0" fontId="8" fillId="5" borderId="4" xfId="0" applyFont="1" applyFill="1" applyBorder="1" applyAlignment="1">
      <alignment horizontal="left" vertical="center" indent="1"/>
    </xf>
    <xf numFmtId="0" fontId="8" fillId="6" borderId="4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 indent="1"/>
    </xf>
    <xf numFmtId="0" fontId="11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left" vertical="center" indent="1"/>
    </xf>
    <xf numFmtId="0" fontId="11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left" vertical="center" wrapText="1"/>
    </xf>
    <xf numFmtId="0" fontId="15" fillId="7" borderId="8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left" vertical="center" wrapText="1"/>
    </xf>
    <xf numFmtId="0" fontId="16" fillId="10" borderId="9" xfId="0" applyFont="1" applyFill="1" applyBorder="1" applyAlignment="1">
      <alignment horizontal="left" vertical="center"/>
    </xf>
    <xf numFmtId="0" fontId="17" fillId="11" borderId="10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/>
    </xf>
    <xf numFmtId="0" fontId="20" fillId="4" borderId="4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left" vertical="center" wrapText="1"/>
    </xf>
    <xf numFmtId="0" fontId="22" fillId="4" borderId="4" xfId="0" applyFont="1" applyFill="1" applyBorder="1" applyAlignment="1">
      <alignment horizontal="left" vertical="center" wrapText="1"/>
    </xf>
    <xf numFmtId="0" fontId="23" fillId="4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left" vertical="center" wrapText="1"/>
    </xf>
    <xf numFmtId="0" fontId="18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19" fillId="6" borderId="4" xfId="0" applyFont="1" applyFill="1" applyBorder="1" applyAlignment="1">
      <alignment horizontal="left" vertical="center"/>
    </xf>
    <xf numFmtId="0" fontId="20" fillId="6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 wrapText="1"/>
    </xf>
    <xf numFmtId="0" fontId="22" fillId="6" borderId="4" xfId="0" applyFont="1" applyFill="1" applyBorder="1" applyAlignment="1">
      <alignment horizontal="left" vertical="center" wrapText="1"/>
    </xf>
    <xf numFmtId="0" fontId="23" fillId="6" borderId="4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4</xdr:row>
      <xdr:rowOff>31500</xdr:rowOff>
    </xdr:from>
    <xdr:ext cx="1381125" cy="1714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00 - Text Clean &amp; Case&apos;!A1" TargetMode="External"/><Relationship Id="rId2" Type="http://schemas.openxmlformats.org/officeDocument/2006/relationships/hyperlink" Target="#&apos;T01 - Substrings &amp; Search&apos;!A1" TargetMode="External"/><Relationship Id="rId3" Type="http://schemas.openxmlformats.org/officeDocument/2006/relationships/hyperlink" Target="#&apos;T02 - Concatenation &amp; Join&apos;!A1" TargetMode="External"/><Relationship Id="rId4" Type="http://schemas.openxmlformats.org/officeDocument/2006/relationships/hyperlink" Target="#&apos;T03 - Replace &amp; Substitution&apos;!A1" TargetMode="External"/><Relationship Id="rId5" Type="http://schemas.openxmlformats.org/officeDocument/2006/relationships/hyperlink" Target="#&apos;T04 - Number &amp; Text Format&apos;!A1" TargetMode="External"/><Relationship Id="rId6" Type="http://schemas.openxmlformats.org/officeDocument/2006/relationships/hyperlink" Target="#&apos;T05 - Core Date Operations&apos;!A1" TargetMode="External"/><Relationship Id="rId7" Type="http://schemas.openxmlformats.org/officeDocument/2006/relationships/hyperlink" Target="#&apos;T06 - Temporal Shifts &amp; EOM&apos;!A1" TargetMode="External"/><Relationship Id="rId8" Type="http://schemas.openxmlformats.org/officeDocument/2006/relationships/hyperlink" Target="#&apos;T08 - Modern Dynamic Text&apos;!A1" TargetMode="External"/><Relationship Id="rId9" Type="http://schemas.openxmlformats.org/officeDocument/2006/relationships/hyperlink" Target="#&apos;T09 - String Masking &amp; Subs&apos;!A1" TargetMode="External"/><Relationship Id="rId10" Type="http://schemas.openxmlformats.org/officeDocument/2006/relationships/hyperlink" Target="#&apos;T10 - Text-to-Number Coercion&apos;!A1" TargetMode="External"/><Relationship Id="rId11" Type="http://schemas.openxmlformats.org/officeDocument/2006/relationships/hyperlink" Target="#&apos;T11 - Industrial ETL Pipeline&apos;!A1" TargetMode="External"/><Relationship Id="rId12" Type="http://schemas.openxmlformats.org/officeDocument/2006/relationships/hyperlink" Target="#&apos;T12 - Shift Overtime Engine&apos;!A1" TargetMode="External"/><Relationship Id="rId1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3; Master Index &amp; Lab Guide&apos;!A1" TargetMode="External"/><Relationship Id="rId2" Type="http://schemas.openxmlformats.org/officeDocument/2006/relationships/hyperlink" Target="#&apos;&#128203; Master Index &amp; Lab Guide&apos;!A1" TargetMode="External"/><Relationship Id="rId3" Type="http://schemas.openxmlformats.org/officeDocument/2006/relationships/hyperlink" Target="#&apos;&#128203; Master Index &amp; Lab Guide&apos;!A1" TargetMode="External"/><Relationship Id="rId4" Type="http://schemas.openxmlformats.org/officeDocument/2006/relationships/hyperlink" Target="#&apos;&#128203; Master Index &amp; Lab Guide&apos;!A1" TargetMode="External"/><Relationship Id="rId5" Type="http://schemas.openxmlformats.org/officeDocument/2006/relationships/hyperlink" Target="#&apos;&#128203; Master Index &amp; Lab Guide&apos;!A1" TargetMode="External"/><Relationship Id="rId6" Type="http://schemas.openxmlformats.org/officeDocument/2006/relationships/hyperlink" Target="#&apos;&#128203; Master Index &amp; Lab Guide&apos;!A1" TargetMode="External"/><Relationship Id="rId7" Type="http://schemas.openxmlformats.org/officeDocument/2006/relationships/hyperlink" Target="#&apos;&#128203; Master Index &amp; Lab Guide&apos;!A1" TargetMode="External"/><Relationship Id="rId8" Type="http://schemas.openxmlformats.org/officeDocument/2006/relationships/hyperlink" Target="#&apos;&#128203; Master Index &amp; Lab Guide&apos;!A1" TargetMode="External"/><Relationship Id="rId9" Type="http://schemas.openxmlformats.org/officeDocument/2006/relationships/hyperlink" Target="#&apos;&#128203; Master Index &amp; Lab Guide&apos;!A1" TargetMode="External"/><Relationship Id="rId10" Type="http://schemas.openxmlformats.org/officeDocument/2006/relationships/hyperlink" Target="#&apos;&#128203; Master Index &amp; Lab Guide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F35"/>
  <sheetViews>
    <sheetView workbookViewId="0"/>
  </sheetViews>
  <sheetFormatPr defaultRowHeight="15" outlineLevelRow="0" outlineLevelCol="0" x14ac:dyDescent="55"/>
  <cols>
    <col min="1" max="1" width="14" customWidth="1"/>
    <col min="2" max="2" width="34" customWidth="1"/>
    <col min="3" max="3" width="32" customWidth="1"/>
    <col min="4" max="4" width="18" customWidth="1"/>
    <col min="5" max="5" width="20" customWidth="1"/>
    <col min="6" max="6" width="22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2</v>
      </c>
      <c r="B3" s="3"/>
      <c r="C3" s="3"/>
      <c r="D3" s="3"/>
      <c r="E3" s="3"/>
      <c r="F3" s="3"/>
    </row>
    <row r="4" ht="10" customHeight="1" x14ac:dyDescent="0.25"/>
    <row r="5" ht="21" customHeight="1" spans="1:6" x14ac:dyDescent="0.25">
      <c r="A5" s="4"/>
      <c r="B5" s="5"/>
      <c r="C5" s="6" t="s">
        <v>3</v>
      </c>
      <c r="D5" s="7" t="s">
        <v>4</v>
      </c>
      <c r="E5" s="7"/>
      <c r="F5" s="7"/>
    </row>
    <row r="6" ht="21" customHeight="1" spans="1:6" x14ac:dyDescent="0.25">
      <c r="A6" s="8"/>
      <c r="B6" s="9"/>
      <c r="C6" s="10" t="s">
        <v>5</v>
      </c>
      <c r="D6" s="11" t="s">
        <v>6</v>
      </c>
      <c r="E6" s="11"/>
      <c r="F6" s="11"/>
    </row>
    <row r="7" ht="21" customHeight="1" spans="1:6" x14ac:dyDescent="0.25">
      <c r="A7" s="8"/>
      <c r="B7" s="9"/>
      <c r="C7" s="10" t="s">
        <v>7</v>
      </c>
      <c r="D7" s="11" t="s">
        <v>8</v>
      </c>
      <c r="E7" s="11"/>
      <c r="F7" s="11"/>
    </row>
    <row r="8" ht="21" customHeight="1" spans="1:6" x14ac:dyDescent="0.25">
      <c r="A8" s="8"/>
      <c r="B8" s="9"/>
      <c r="C8" s="10" t="s">
        <v>9</v>
      </c>
      <c r="D8" s="11" t="s">
        <v>10</v>
      </c>
      <c r="E8" s="11"/>
      <c r="F8" s="11"/>
    </row>
    <row r="9" ht="21" customHeight="1" spans="1:6" x14ac:dyDescent="0.25">
      <c r="A9" s="8"/>
      <c r="B9" s="9"/>
      <c r="C9" s="10" t="s">
        <v>11</v>
      </c>
      <c r="D9" s="11" t="s">
        <v>12</v>
      </c>
      <c r="E9" s="11"/>
      <c r="F9" s="11"/>
    </row>
    <row r="10" ht="21" customHeight="1" spans="1:6" x14ac:dyDescent="0.25">
      <c r="A10" s="8"/>
      <c r="B10" s="9"/>
      <c r="C10" s="10" t="s">
        <v>13</v>
      </c>
      <c r="D10" s="11" t="s">
        <v>14</v>
      </c>
      <c r="E10" s="11"/>
      <c r="F10" s="11"/>
    </row>
    <row r="11" ht="21" customHeight="1" spans="1:6" x14ac:dyDescent="0.25">
      <c r="A11" s="8"/>
      <c r="B11" s="9"/>
      <c r="C11" s="10" t="s">
        <v>15</v>
      </c>
      <c r="D11" s="11" t="s">
        <v>16</v>
      </c>
      <c r="E11" s="11"/>
      <c r="F11" s="11"/>
    </row>
    <row r="12" ht="21" customHeight="1" spans="1:6" x14ac:dyDescent="0.25">
      <c r="A12" s="8"/>
      <c r="B12" s="9"/>
      <c r="C12" s="10" t="s">
        <v>17</v>
      </c>
      <c r="D12" s="11" t="s">
        <v>18</v>
      </c>
      <c r="E12" s="11"/>
      <c r="F12" s="11"/>
    </row>
    <row r="13" ht="21" customHeight="1" spans="1:6" x14ac:dyDescent="0.25">
      <c r="A13" s="12"/>
      <c r="B13" s="13"/>
      <c r="C13" s="14" t="s">
        <v>19</v>
      </c>
      <c r="D13" s="15" t="s">
        <v>20</v>
      </c>
      <c r="E13" s="15"/>
      <c r="F13" s="15"/>
    </row>
    <row r="14" ht="12" customHeight="1" x14ac:dyDescent="0.25"/>
    <row r="15" ht="24" customHeight="1" spans="1:6" x14ac:dyDescent="0.25">
      <c r="A15" s="16" t="s">
        <v>21</v>
      </c>
      <c r="B15" s="16"/>
      <c r="C15" s="16"/>
      <c r="D15" s="16"/>
      <c r="E15" s="16"/>
      <c r="F15" s="16"/>
    </row>
    <row r="16" ht="20" customHeight="1" spans="1:6" x14ac:dyDescent="0.25">
      <c r="A16" s="17" t="s">
        <v>22</v>
      </c>
      <c r="B16" s="17"/>
      <c r="C16" s="17"/>
      <c r="D16" s="17"/>
      <c r="E16" s="17"/>
      <c r="F16" s="17"/>
    </row>
    <row r="17" ht="20" customHeight="1" spans="1:6" x14ac:dyDescent="0.25">
      <c r="A17" s="18" t="s">
        <v>23</v>
      </c>
      <c r="B17" s="18"/>
      <c r="C17" s="18"/>
      <c r="D17" s="18"/>
      <c r="E17" s="18"/>
      <c r="F17" s="18"/>
    </row>
    <row r="18" ht="20" customHeight="1" spans="1:6" x14ac:dyDescent="0.25">
      <c r="A18" s="17" t="s">
        <v>24</v>
      </c>
      <c r="B18" s="17"/>
      <c r="C18" s="17"/>
      <c r="D18" s="17"/>
      <c r="E18" s="17"/>
      <c r="F18" s="17"/>
    </row>
    <row r="19" ht="20" customHeight="1" spans="1:6" x14ac:dyDescent="0.25">
      <c r="A19" s="18" t="s">
        <v>25</v>
      </c>
      <c r="B19" s="18"/>
      <c r="C19" s="18"/>
      <c r="D19" s="18"/>
      <c r="E19" s="18"/>
      <c r="F19" s="18"/>
    </row>
    <row r="20" ht="20" customHeight="1" spans="1:6" x14ac:dyDescent="0.25">
      <c r="A20" s="17" t="s">
        <v>26</v>
      </c>
      <c r="B20" s="17"/>
      <c r="C20" s="17"/>
      <c r="D20" s="17"/>
      <c r="E20" s="17"/>
      <c r="F20" s="17"/>
    </row>
    <row r="21" ht="20" customHeight="1" spans="1:6" x14ac:dyDescent="0.25">
      <c r="A21" s="18" t="s">
        <v>27</v>
      </c>
      <c r="B21" s="18"/>
      <c r="C21" s="18"/>
      <c r="D21" s="18"/>
      <c r="E21" s="18"/>
      <c r="F21" s="18"/>
    </row>
    <row r="22" ht="14" customHeight="1" x14ac:dyDescent="0.25"/>
    <row r="23" ht="26" customHeight="1" spans="1:6" x14ac:dyDescent="0.25">
      <c r="A23" s="19" t="s">
        <v>28</v>
      </c>
      <c r="B23" s="20" t="s">
        <v>29</v>
      </c>
      <c r="C23" s="19" t="s">
        <v>30</v>
      </c>
      <c r="D23" s="19" t="s">
        <v>31</v>
      </c>
      <c r="E23" s="19" t="s">
        <v>32</v>
      </c>
      <c r="F23" s="19" t="s">
        <v>33</v>
      </c>
    </row>
    <row r="24" ht="22" customHeight="1" spans="1:6" x14ac:dyDescent="0.25">
      <c r="A24" s="21" t="s">
        <v>34</v>
      </c>
      <c r="B24" s="22" t="s">
        <v>35</v>
      </c>
      <c r="C24" s="23" t="s">
        <v>36</v>
      </c>
      <c r="D24" s="24" t="s">
        <v>37</v>
      </c>
      <c r="E24" s="25" t="s">
        <v>38</v>
      </c>
      <c r="F24" s="26" t="s">
        <v>39</v>
      </c>
    </row>
    <row r="25" ht="22" customHeight="1" spans="1:6" x14ac:dyDescent="0.25">
      <c r="A25" s="27" t="s">
        <v>40</v>
      </c>
      <c r="B25" s="28" t="s">
        <v>41</v>
      </c>
      <c r="C25" s="29" t="s">
        <v>42</v>
      </c>
      <c r="D25" s="30" t="s">
        <v>37</v>
      </c>
      <c r="E25" s="31" t="s">
        <v>38</v>
      </c>
      <c r="F25" s="32" t="s">
        <v>39</v>
      </c>
    </row>
    <row r="26" ht="22" customHeight="1" spans="1:6" x14ac:dyDescent="0.25">
      <c r="A26" s="21" t="s">
        <v>43</v>
      </c>
      <c r="B26" s="22" t="s">
        <v>44</v>
      </c>
      <c r="C26" s="23" t="s">
        <v>45</v>
      </c>
      <c r="D26" s="24" t="s">
        <v>37</v>
      </c>
      <c r="E26" s="25" t="s">
        <v>38</v>
      </c>
      <c r="F26" s="26" t="s">
        <v>39</v>
      </c>
    </row>
    <row r="27" ht="22" customHeight="1" spans="1:6" x14ac:dyDescent="0.25">
      <c r="A27" s="27" t="s">
        <v>46</v>
      </c>
      <c r="B27" s="28" t="s">
        <v>47</v>
      </c>
      <c r="C27" s="29" t="s">
        <v>48</v>
      </c>
      <c r="D27" s="30" t="s">
        <v>37</v>
      </c>
      <c r="E27" s="31" t="s">
        <v>38</v>
      </c>
      <c r="F27" s="32" t="s">
        <v>39</v>
      </c>
    </row>
    <row r="28" ht="22" customHeight="1" spans="1:6" x14ac:dyDescent="0.25">
      <c r="A28" s="21" t="s">
        <v>49</v>
      </c>
      <c r="B28" s="22" t="s">
        <v>50</v>
      </c>
      <c r="C28" s="23" t="s">
        <v>51</v>
      </c>
      <c r="D28" s="24" t="s">
        <v>37</v>
      </c>
      <c r="E28" s="25" t="s">
        <v>38</v>
      </c>
      <c r="F28" s="26" t="s">
        <v>39</v>
      </c>
    </row>
    <row r="29" ht="22" customHeight="1" spans="1:6" x14ac:dyDescent="0.25">
      <c r="A29" s="27" t="s">
        <v>52</v>
      </c>
      <c r="B29" s="28" t="s">
        <v>53</v>
      </c>
      <c r="C29" s="29" t="s">
        <v>54</v>
      </c>
      <c r="D29" s="30" t="s">
        <v>37</v>
      </c>
      <c r="E29" s="31" t="s">
        <v>38</v>
      </c>
      <c r="F29" s="32" t="s">
        <v>39</v>
      </c>
    </row>
    <row r="30" ht="22" customHeight="1" spans="1:6" x14ac:dyDescent="0.25">
      <c r="A30" s="21" t="s">
        <v>55</v>
      </c>
      <c r="B30" s="22" t="s">
        <v>56</v>
      </c>
      <c r="C30" s="23" t="s">
        <v>57</v>
      </c>
      <c r="D30" s="24" t="s">
        <v>37</v>
      </c>
      <c r="E30" s="25" t="s">
        <v>38</v>
      </c>
      <c r="F30" s="26" t="s">
        <v>39</v>
      </c>
    </row>
    <row r="31" ht="22" customHeight="1" spans="1:6" x14ac:dyDescent="0.25">
      <c r="A31" s="27" t="s">
        <v>58</v>
      </c>
      <c r="B31" s="28" t="s">
        <v>59</v>
      </c>
      <c r="C31" s="29" t="s">
        <v>60</v>
      </c>
      <c r="D31" s="30" t="s">
        <v>37</v>
      </c>
      <c r="E31" s="31" t="s">
        <v>38</v>
      </c>
      <c r="F31" s="32" t="s">
        <v>39</v>
      </c>
    </row>
    <row r="32" ht="22" customHeight="1" spans="1:6" x14ac:dyDescent="0.25">
      <c r="A32" s="21" t="s">
        <v>61</v>
      </c>
      <c r="B32" s="22" t="s">
        <v>62</v>
      </c>
      <c r="C32" s="23" t="s">
        <v>63</v>
      </c>
      <c r="D32" s="24" t="s">
        <v>37</v>
      </c>
      <c r="E32" s="25" t="s">
        <v>38</v>
      </c>
      <c r="F32" s="26" t="s">
        <v>39</v>
      </c>
    </row>
    <row r="33" ht="22" customHeight="1" spans="1:6" x14ac:dyDescent="0.25">
      <c r="A33" s="27" t="s">
        <v>64</v>
      </c>
      <c r="B33" s="28" t="s">
        <v>65</v>
      </c>
      <c r="C33" s="29" t="s">
        <v>66</v>
      </c>
      <c r="D33" s="30" t="s">
        <v>37</v>
      </c>
      <c r="E33" s="31" t="s">
        <v>38</v>
      </c>
      <c r="F33" s="32" t="s">
        <v>39</v>
      </c>
    </row>
    <row r="34" ht="22" customHeight="1" spans="1:6" x14ac:dyDescent="0.25">
      <c r="A34" s="21" t="s">
        <v>67</v>
      </c>
      <c r="B34" s="22" t="s">
        <v>68</v>
      </c>
      <c r="C34" s="23" t="s">
        <v>69</v>
      </c>
      <c r="D34" s="24" t="s">
        <v>37</v>
      </c>
      <c r="E34" s="25" t="s">
        <v>38</v>
      </c>
      <c r="F34" s="26" t="s">
        <v>39</v>
      </c>
    </row>
    <row r="35" ht="22" customHeight="1" spans="1:6" x14ac:dyDescent="0.25">
      <c r="A35" s="27" t="s">
        <v>70</v>
      </c>
      <c r="B35" s="28" t="s">
        <v>71</v>
      </c>
      <c r="C35" s="29" t="s">
        <v>72</v>
      </c>
      <c r="D35" s="30" t="s">
        <v>37</v>
      </c>
      <c r="E35" s="31" t="s">
        <v>38</v>
      </c>
      <c r="F35" s="32" t="s">
        <v>39</v>
      </c>
    </row>
  </sheetData>
  <mergeCells count="19">
    <mergeCell ref="A1:F1"/>
    <mergeCell ref="A2:F2"/>
    <mergeCell ref="A3:F3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A15:F15"/>
    <mergeCell ref="A16:F16"/>
    <mergeCell ref="A17:F17"/>
    <mergeCell ref="A18:F18"/>
    <mergeCell ref="A19:F19"/>
    <mergeCell ref="A20:F20"/>
    <mergeCell ref="A21:F21"/>
  </mergeCells>
  <hyperlinks>
    <hyperlink ref="C24" r:id="rId1" location="#'T00 - Text Clean &amp; Case'!A1"/>
    <hyperlink ref="C25" r:id="rId2" location="#'T01 - Substrings &amp; Search'!A1"/>
    <hyperlink ref="C26" r:id="rId3" location="#'T02 - Concatenation &amp; Join'!A1"/>
    <hyperlink ref="C27" r:id="rId4" location="#'T03 - Replace &amp; Substitution'!A1"/>
    <hyperlink ref="C28" r:id="rId5" location="#'T04 - Number &amp; Text Format'!A1"/>
    <hyperlink ref="C29" r:id="rId6" location="#'T05 - Core Date Operations'!A1"/>
    <hyperlink ref="C30" r:id="rId7" location="#'T06 - Temporal Shifts &amp; EOM'!A1"/>
    <hyperlink ref="C31" r:id="rId8" location="#'T08 - Modern Dynamic Text'!A1"/>
    <hyperlink ref="C32" r:id="rId9" location="#'T09 - String Masking &amp; Subs'!A1"/>
    <hyperlink ref="C33" r:id="rId10" location="#'T10 - Text-to-Number Coercion'!A1"/>
    <hyperlink ref="C34" r:id="rId11" location="#'T11 - Industrial ETL Pipeline'!A1"/>
    <hyperlink ref="C35" r:id="rId12" location="#'T12 - Shift Overtime Engine'!A1"/>
  </hyperlinks>
  <pageMargins left="0.7" right="0.7" top="0.75" bottom="0.75" header="0.3" footer="0.3"/>
  <pageSetup orientation="portrait" horizontalDpi="4294967295" verticalDpi="4294967295" scale="100" fitToWidth="1" fitToHeight="1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 t="s">
        <v>85</v>
      </c>
      <c r="B2" s="38" t="s">
        <v>86</v>
      </c>
      <c r="C2" s="38" t="s">
        <v>86</v>
      </c>
      <c r="D2" s="38" t="s">
        <v>86</v>
      </c>
      <c r="E2" s="39" t="s">
        <v>86</v>
      </c>
      <c r="F2" s="40">
        <f>PROPER(TRIM(A2))</f>
      </c>
      <c r="G2" s="41" t="s">
        <v>87</v>
      </c>
      <c r="H2" s="42" t="s">
        <v>88</v>
      </c>
      <c r="I2" s="43" t="s">
        <v>89</v>
      </c>
      <c r="J2" s="44" t="s">
        <v>90</v>
      </c>
      <c r="K2" s="45" t="s">
        <v>91</v>
      </c>
      <c r="L2" s="46" t="s">
        <v>92</v>
      </c>
      <c r="M2" s="47" t="s">
        <v>93</v>
      </c>
    </row>
    <row r="3" ht="38" customHeight="1" spans="1:13" x14ac:dyDescent="0.25">
      <c r="A3" s="48" t="s">
        <v>94</v>
      </c>
      <c r="B3" s="48" t="s">
        <v>86</v>
      </c>
      <c r="C3" s="48" t="s">
        <v>86</v>
      </c>
      <c r="D3" s="48" t="s">
        <v>86</v>
      </c>
      <c r="E3" s="39" t="s">
        <v>86</v>
      </c>
      <c r="F3" s="40">
        <f>UPPER(TRIM(A3))</f>
      </c>
      <c r="G3" s="49" t="s">
        <v>95</v>
      </c>
      <c r="H3" s="50" t="s">
        <v>96</v>
      </c>
      <c r="I3" s="51" t="s">
        <v>97</v>
      </c>
      <c r="J3" s="52" t="s">
        <v>90</v>
      </c>
      <c r="K3" s="53" t="s">
        <v>98</v>
      </c>
      <c r="L3" s="54" t="s">
        <v>99</v>
      </c>
      <c r="M3" s="55" t="s">
        <v>93</v>
      </c>
    </row>
    <row r="4" ht="38" customHeight="1" spans="1:13" x14ac:dyDescent="0.25">
      <c r="A4" s="38" t="s">
        <v>100</v>
      </c>
      <c r="B4" s="38" t="s">
        <v>86</v>
      </c>
      <c r="C4" s="38" t="s">
        <v>86</v>
      </c>
      <c r="D4" s="38" t="s">
        <v>86</v>
      </c>
      <c r="E4" s="39" t="s">
        <v>86</v>
      </c>
      <c r="F4" s="40">
        <f>LOWER(TRIM(A4))</f>
      </c>
      <c r="G4" s="41" t="s">
        <v>101</v>
      </c>
      <c r="H4" s="42" t="s">
        <v>102</v>
      </c>
      <c r="I4" s="43" t="s">
        <v>103</v>
      </c>
      <c r="J4" s="44" t="s">
        <v>90</v>
      </c>
      <c r="K4" s="45" t="s">
        <v>104</v>
      </c>
      <c r="L4" s="46" t="s">
        <v>105</v>
      </c>
      <c r="M4" s="47" t="s">
        <v>93</v>
      </c>
    </row>
    <row r="5" ht="38" customHeight="1" spans="1:13" x14ac:dyDescent="0.25">
      <c r="A5" s="48" t="s">
        <v>106</v>
      </c>
      <c r="B5" s="48" t="s">
        <v>86</v>
      </c>
      <c r="C5" s="48" t="s">
        <v>86</v>
      </c>
      <c r="D5" s="48" t="s">
        <v>86</v>
      </c>
      <c r="E5" s="39" t="s">
        <v>86</v>
      </c>
      <c r="F5" s="40">
        <f>PROPER(TRIM(A5))</f>
      </c>
      <c r="G5" s="49" t="s">
        <v>107</v>
      </c>
      <c r="H5" s="50" t="s">
        <v>108</v>
      </c>
      <c r="I5" s="51" t="s">
        <v>109</v>
      </c>
      <c r="J5" s="52" t="s">
        <v>90</v>
      </c>
      <c r="K5" s="53" t="s">
        <v>110</v>
      </c>
      <c r="L5" s="54" t="s">
        <v>111</v>
      </c>
      <c r="M5" s="55" t="s">
        <v>93</v>
      </c>
    </row>
    <row r="6" ht="38" customHeight="1" spans="1:13" x14ac:dyDescent="0.25">
      <c r="A6" s="38" t="s">
        <v>112</v>
      </c>
      <c r="B6" s="38" t="s">
        <v>113</v>
      </c>
      <c r="C6" s="38" t="s">
        <v>86</v>
      </c>
      <c r="D6" s="38" t="s">
        <v>86</v>
      </c>
      <c r="E6" s="39" t="s">
        <v>86</v>
      </c>
      <c r="F6" s="40">
        <f>EXACT(A6, B6)</f>
      </c>
      <c r="G6" s="41" t="s">
        <v>114</v>
      </c>
      <c r="H6" s="42" t="s">
        <v>115</v>
      </c>
      <c r="I6" s="43" t="s">
        <v>116</v>
      </c>
      <c r="J6" s="56" t="s">
        <v>117</v>
      </c>
      <c r="K6" s="45" t="s">
        <v>118</v>
      </c>
      <c r="L6" s="46" t="s">
        <v>119</v>
      </c>
      <c r="M6" s="47" t="s">
        <v>93</v>
      </c>
    </row>
    <row r="7" ht="38" customHeight="1" spans="1:13" x14ac:dyDescent="0.25">
      <c r="A7" s="48" t="s">
        <v>120</v>
      </c>
      <c r="B7" s="48" t="s">
        <v>86</v>
      </c>
      <c r="C7" s="48" t="s">
        <v>86</v>
      </c>
      <c r="D7" s="48" t="s">
        <v>86</v>
      </c>
      <c r="E7" s="39" t="s">
        <v>86</v>
      </c>
      <c r="F7" s="40">
        <f>CLEAN(A7)</f>
      </c>
      <c r="G7" s="49" t="s">
        <v>121</v>
      </c>
      <c r="H7" s="50" t="s">
        <v>122</v>
      </c>
      <c r="I7" s="51" t="s">
        <v>123</v>
      </c>
      <c r="J7" s="57" t="s">
        <v>117</v>
      </c>
      <c r="K7" s="53" t="s">
        <v>124</v>
      </c>
      <c r="L7" s="54" t="s">
        <v>125</v>
      </c>
      <c r="M7" s="55" t="s">
        <v>93</v>
      </c>
    </row>
    <row r="8" ht="38" customHeight="1" spans="1:13" x14ac:dyDescent="0.25">
      <c r="A8" s="38" t="s">
        <v>126</v>
      </c>
      <c r="B8" s="38" t="s">
        <v>86</v>
      </c>
      <c r="C8" s="38" t="s">
        <v>86</v>
      </c>
      <c r="D8" s="38" t="s">
        <v>86</v>
      </c>
      <c r="E8" s="39" t="s">
        <v>86</v>
      </c>
      <c r="F8" s="40">
        <f>TRIM(CLEAN(PROPER(A8)))</f>
      </c>
      <c r="G8" s="41" t="s">
        <v>127</v>
      </c>
      <c r="H8" s="42" t="s">
        <v>128</v>
      </c>
      <c r="I8" s="43" t="s">
        <v>129</v>
      </c>
      <c r="J8" s="58" t="s">
        <v>130</v>
      </c>
      <c r="K8" s="45" t="s">
        <v>131</v>
      </c>
      <c r="L8" s="46" t="s">
        <v>132</v>
      </c>
      <c r="M8" s="47" t="s">
        <v>93</v>
      </c>
    </row>
    <row r="9" ht="38" customHeight="1" spans="1:13" x14ac:dyDescent="0.25">
      <c r="A9" s="48" t="s">
        <v>133</v>
      </c>
      <c r="B9" s="48" t="s">
        <v>86</v>
      </c>
      <c r="C9" s="48" t="s">
        <v>86</v>
      </c>
      <c r="D9" s="48" t="s">
        <v>86</v>
      </c>
      <c r="E9" s="39" t="s">
        <v>86</v>
      </c>
      <c r="F9" s="40">
        <f>LOWER(A9)</f>
      </c>
      <c r="G9" s="49" t="s">
        <v>134</v>
      </c>
      <c r="H9" s="50" t="s">
        <v>135</v>
      </c>
      <c r="I9" s="51" t="s">
        <v>136</v>
      </c>
      <c r="J9" s="52" t="s">
        <v>90</v>
      </c>
      <c r="K9" s="53" t="s">
        <v>137</v>
      </c>
      <c r="L9" s="54" t="s">
        <v>138</v>
      </c>
      <c r="M9" s="55" t="s">
        <v>93</v>
      </c>
    </row>
    <row r="10" ht="38" customHeight="1" spans="1:13" x14ac:dyDescent="0.25">
      <c r="A10" s="38" t="s">
        <v>139</v>
      </c>
      <c r="B10" s="38" t="s">
        <v>86</v>
      </c>
      <c r="C10" s="38" t="s">
        <v>86</v>
      </c>
      <c r="D10" s="38" t="s">
        <v>86</v>
      </c>
      <c r="E10" s="39" t="s">
        <v>86</v>
      </c>
      <c r="F10" s="40">
        <f>PROPER(A10)</f>
      </c>
      <c r="G10" s="41" t="s">
        <v>140</v>
      </c>
      <c r="H10" s="42" t="s">
        <v>141</v>
      </c>
      <c r="I10" s="43" t="s">
        <v>142</v>
      </c>
      <c r="J10" s="56" t="s">
        <v>117</v>
      </c>
      <c r="K10" s="45" t="s">
        <v>143</v>
      </c>
      <c r="L10" s="46" t="s">
        <v>144</v>
      </c>
      <c r="M10" s="47" t="s">
        <v>93</v>
      </c>
    </row>
    <row r="11" ht="38" customHeight="1" spans="1:13" x14ac:dyDescent="0.25">
      <c r="A11" s="48" t="s">
        <v>145</v>
      </c>
      <c r="B11" s="48" t="s">
        <v>86</v>
      </c>
      <c r="C11" s="48" t="s">
        <v>86</v>
      </c>
      <c r="D11" s="48" t="s">
        <v>86</v>
      </c>
      <c r="E11" s="39" t="s">
        <v>86</v>
      </c>
      <c r="F11" s="40">
        <f>TRIM(SUBSTITUTE(A11, CHAR(160), " "))</f>
      </c>
      <c r="G11" s="49" t="s">
        <v>146</v>
      </c>
      <c r="H11" s="50" t="s">
        <v>147</v>
      </c>
      <c r="I11" s="51" t="s">
        <v>148</v>
      </c>
      <c r="J11" s="59" t="s">
        <v>130</v>
      </c>
      <c r="K11" s="53" t="s">
        <v>149</v>
      </c>
      <c r="L11" s="54" t="s">
        <v>150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 t="s">
        <v>151</v>
      </c>
      <c r="B2" s="38" t="s">
        <v>86</v>
      </c>
      <c r="C2" s="38" t="s">
        <v>86</v>
      </c>
      <c r="D2" s="38" t="s">
        <v>86</v>
      </c>
      <c r="E2" s="39" t="s">
        <v>86</v>
      </c>
      <c r="F2" s="40">
        <f>LEFT(A2, 3)</f>
      </c>
      <c r="G2" s="41" t="s">
        <v>152</v>
      </c>
      <c r="H2" s="42" t="s">
        <v>153</v>
      </c>
      <c r="I2" s="43" t="s">
        <v>154</v>
      </c>
      <c r="J2" s="44" t="s">
        <v>90</v>
      </c>
      <c r="K2" s="45" t="s">
        <v>155</v>
      </c>
      <c r="L2" s="46" t="s">
        <v>156</v>
      </c>
      <c r="M2" s="47" t="s">
        <v>93</v>
      </c>
    </row>
    <row r="3" ht="38" customHeight="1" spans="1:13" x14ac:dyDescent="0.25">
      <c r="A3" s="48" t="s">
        <v>157</v>
      </c>
      <c r="B3" s="48" t="s">
        <v>86</v>
      </c>
      <c r="C3" s="48" t="s">
        <v>86</v>
      </c>
      <c r="D3" s="48" t="s">
        <v>86</v>
      </c>
      <c r="E3" s="39" t="s">
        <v>86</v>
      </c>
      <c r="F3" s="40">
        <f>--RIGHT(A3, 5)</f>
      </c>
      <c r="G3" s="49" t="s">
        <v>158</v>
      </c>
      <c r="H3" s="50" t="s">
        <v>159</v>
      </c>
      <c r="I3" s="51" t="s">
        <v>160</v>
      </c>
      <c r="J3" s="52" t="s">
        <v>90</v>
      </c>
      <c r="K3" s="53" t="s">
        <v>161</v>
      </c>
      <c r="L3" s="54" t="s">
        <v>162</v>
      </c>
      <c r="M3" s="55" t="s">
        <v>93</v>
      </c>
    </row>
    <row r="4" ht="38" customHeight="1" spans="1:13" x14ac:dyDescent="0.25">
      <c r="A4" s="38" t="s">
        <v>163</v>
      </c>
      <c r="B4" s="38" t="s">
        <v>86</v>
      </c>
      <c r="C4" s="38" t="s">
        <v>86</v>
      </c>
      <c r="D4" s="38" t="s">
        <v>86</v>
      </c>
      <c r="E4" s="39" t="s">
        <v>86</v>
      </c>
      <c r="F4" s="40">
        <f>MID(A4, 5, 4)</f>
      </c>
      <c r="G4" s="41" t="s">
        <v>164</v>
      </c>
      <c r="H4" s="42" t="s">
        <v>165</v>
      </c>
      <c r="I4" s="43" t="s">
        <v>166</v>
      </c>
      <c r="J4" s="56" t="s">
        <v>117</v>
      </c>
      <c r="K4" s="45" t="s">
        <v>167</v>
      </c>
      <c r="L4" s="46" t="s">
        <v>168</v>
      </c>
      <c r="M4" s="47" t="s">
        <v>93</v>
      </c>
    </row>
    <row r="5" ht="38" customHeight="1" spans="1:13" x14ac:dyDescent="0.25">
      <c r="A5" s="48" t="s">
        <v>169</v>
      </c>
      <c r="B5" s="48" t="s">
        <v>86</v>
      </c>
      <c r="C5" s="48" t="s">
        <v>86</v>
      </c>
      <c r="D5" s="48" t="s">
        <v>86</v>
      </c>
      <c r="E5" s="39" t="s">
        <v>86</v>
      </c>
      <c r="F5" s="40">
        <f>LEFT(A5, FIND("@", A5) - 1)</f>
      </c>
      <c r="G5" s="49" t="s">
        <v>170</v>
      </c>
      <c r="H5" s="50" t="s">
        <v>171</v>
      </c>
      <c r="I5" s="51" t="s">
        <v>172</v>
      </c>
      <c r="J5" s="57" t="s">
        <v>117</v>
      </c>
      <c r="K5" s="53" t="s">
        <v>173</v>
      </c>
      <c r="L5" s="54" t="s">
        <v>174</v>
      </c>
      <c r="M5" s="55" t="s">
        <v>93</v>
      </c>
    </row>
    <row r="6" ht="38" customHeight="1" spans="1:13" x14ac:dyDescent="0.25">
      <c r="A6" s="38" t="s">
        <v>175</v>
      </c>
      <c r="B6" s="38" t="s">
        <v>86</v>
      </c>
      <c r="C6" s="38" t="s">
        <v>86</v>
      </c>
      <c r="D6" s="38" t="s">
        <v>86</v>
      </c>
      <c r="E6" s="39" t="s">
        <v>86</v>
      </c>
      <c r="F6" s="40">
        <f>MID(A6, FIND("@", A6) + 1, LEN(A6))</f>
      </c>
      <c r="G6" s="41" t="s">
        <v>176</v>
      </c>
      <c r="H6" s="42" t="s">
        <v>177</v>
      </c>
      <c r="I6" s="43" t="s">
        <v>178</v>
      </c>
      <c r="J6" s="56" t="s">
        <v>117</v>
      </c>
      <c r="K6" s="45" t="s">
        <v>179</v>
      </c>
      <c r="L6" s="46" t="s">
        <v>180</v>
      </c>
      <c r="M6" s="47" t="s">
        <v>93</v>
      </c>
    </row>
    <row r="7" ht="38" customHeight="1" spans="1:13" x14ac:dyDescent="0.25">
      <c r="A7" s="48" t="s">
        <v>181</v>
      </c>
      <c r="B7" s="48" t="s">
        <v>86</v>
      </c>
      <c r="C7" s="48" t="s">
        <v>86</v>
      </c>
      <c r="D7" s="48" t="s">
        <v>86</v>
      </c>
      <c r="E7" s="39" t="s">
        <v>86</v>
      </c>
      <c r="F7" s="40">
        <f>IF(LEN(A7) = 15, "Valid Length", "Invalid Length")</f>
      </c>
      <c r="G7" s="49" t="s">
        <v>182</v>
      </c>
      <c r="H7" s="50" t="s">
        <v>183</v>
      </c>
      <c r="I7" s="51" t="s">
        <v>184</v>
      </c>
      <c r="J7" s="52" t="s">
        <v>90</v>
      </c>
      <c r="K7" s="53" t="s">
        <v>185</v>
      </c>
      <c r="L7" s="54" t="s">
        <v>186</v>
      </c>
      <c r="M7" s="55" t="s">
        <v>93</v>
      </c>
    </row>
    <row r="8" ht="38" customHeight="1" spans="1:13" x14ac:dyDescent="0.25">
      <c r="A8" s="38" t="s">
        <v>187</v>
      </c>
      <c r="B8" s="38" t="s">
        <v>86</v>
      </c>
      <c r="C8" s="38" t="s">
        <v>86</v>
      </c>
      <c r="D8" s="38" t="s">
        <v>86</v>
      </c>
      <c r="E8" s="39" t="s">
        <v>86</v>
      </c>
      <c r="F8" s="40">
        <f>ISNUMBER(SEARCH("confidential", A8))</f>
      </c>
      <c r="G8" s="41" t="s">
        <v>188</v>
      </c>
      <c r="H8" s="42" t="s">
        <v>189</v>
      </c>
      <c r="I8" s="43" t="s">
        <v>190</v>
      </c>
      <c r="J8" s="56" t="s">
        <v>117</v>
      </c>
      <c r="K8" s="45" t="s">
        <v>191</v>
      </c>
      <c r="L8" s="46" t="s">
        <v>192</v>
      </c>
      <c r="M8" s="47" t="s">
        <v>93</v>
      </c>
    </row>
    <row r="9" ht="38" customHeight="1" spans="1:13" x14ac:dyDescent="0.25">
      <c r="A9" s="48" t="s">
        <v>193</v>
      </c>
      <c r="B9" s="48" t="s">
        <v>86</v>
      </c>
      <c r="C9" s="48" t="s">
        <v>86</v>
      </c>
      <c r="D9" s="48" t="s">
        <v>86</v>
      </c>
      <c r="E9" s="39" t="s">
        <v>86</v>
      </c>
      <c r="F9" s="40">
        <f>FIND("404", A9, 12)</f>
      </c>
      <c r="G9" s="49" t="s">
        <v>194</v>
      </c>
      <c r="H9" s="50" t="s">
        <v>195</v>
      </c>
      <c r="I9" s="51" t="s">
        <v>196</v>
      </c>
      <c r="J9" s="59" t="s">
        <v>130</v>
      </c>
      <c r="K9" s="53" t="s">
        <v>197</v>
      </c>
      <c r="L9" s="54" t="s">
        <v>198</v>
      </c>
      <c r="M9" s="55" t="s">
        <v>93</v>
      </c>
    </row>
    <row r="10" ht="38" customHeight="1" spans="1:13" x14ac:dyDescent="0.25">
      <c r="A10" s="38" t="s">
        <v>199</v>
      </c>
      <c r="B10" s="38" t="s">
        <v>86</v>
      </c>
      <c r="C10" s="38" t="s">
        <v>86</v>
      </c>
      <c r="D10" s="38" t="s">
        <v>86</v>
      </c>
      <c r="E10" s="39" t="s">
        <v>86</v>
      </c>
      <c r="F10" s="40">
        <f>RIGHT(A10, LEN(A10) - FIND(" ", A10))</f>
      </c>
      <c r="G10" s="41" t="s">
        <v>200</v>
      </c>
      <c r="H10" s="42" t="s">
        <v>201</v>
      </c>
      <c r="I10" s="43" t="s">
        <v>202</v>
      </c>
      <c r="J10" s="56" t="s">
        <v>117</v>
      </c>
      <c r="K10" s="45" t="s">
        <v>203</v>
      </c>
      <c r="L10" s="46" t="s">
        <v>204</v>
      </c>
      <c r="M10" s="47" t="s">
        <v>93</v>
      </c>
    </row>
    <row r="11" ht="38" customHeight="1" spans="1:13" x14ac:dyDescent="0.25">
      <c r="A11" s="48" t="s">
        <v>205</v>
      </c>
      <c r="B11" s="48" t="s">
        <v>86</v>
      </c>
      <c r="C11" s="48" t="s">
        <v>86</v>
      </c>
      <c r="D11" s="48" t="s">
        <v>86</v>
      </c>
      <c r="E11" s="39" t="s">
        <v>86</v>
      </c>
      <c r="F11" s="40">
        <f>MID(A11, FIND("#", A11) + 1, FIND(":", A11) - FIND("#", A11) - 1)</f>
      </c>
      <c r="G11" s="49" t="s">
        <v>206</v>
      </c>
      <c r="H11" s="50" t="s">
        <v>207</v>
      </c>
      <c r="I11" s="51" t="s">
        <v>208</v>
      </c>
      <c r="J11" s="59" t="s">
        <v>130</v>
      </c>
      <c r="K11" s="53" t="s">
        <v>209</v>
      </c>
      <c r="L11" s="54" t="s">
        <v>210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 t="s">
        <v>211</v>
      </c>
      <c r="B2" s="38" t="s">
        <v>212</v>
      </c>
      <c r="C2" s="38" t="s">
        <v>86</v>
      </c>
      <c r="D2" s="38" t="s">
        <v>86</v>
      </c>
      <c r="E2" s="39" t="s">
        <v>86</v>
      </c>
      <c r="F2" s="40">
        <f>A2 &amp; " " &amp; B2</f>
      </c>
      <c r="G2" s="41" t="s">
        <v>87</v>
      </c>
      <c r="H2" s="42" t="s">
        <v>213</v>
      </c>
      <c r="I2" s="43" t="s">
        <v>214</v>
      </c>
      <c r="J2" s="44" t="s">
        <v>90</v>
      </c>
      <c r="K2" s="45" t="s">
        <v>215</v>
      </c>
      <c r="L2" s="46" t="s">
        <v>216</v>
      </c>
      <c r="M2" s="47" t="s">
        <v>93</v>
      </c>
    </row>
    <row r="3" ht="38" customHeight="1" spans="1:13" x14ac:dyDescent="0.25">
      <c r="A3" s="48" t="s">
        <v>217</v>
      </c>
      <c r="B3" s="48" t="s">
        <v>218</v>
      </c>
      <c r="C3" s="48" t="s">
        <v>86</v>
      </c>
      <c r="D3" s="48" t="s">
        <v>219</v>
      </c>
      <c r="E3" s="39" t="s">
        <v>86</v>
      </c>
      <c r="F3" s="40">
        <f>TEXTJOIN(", ", TRUE, A3:D3)</f>
      </c>
      <c r="G3" s="49" t="s">
        <v>220</v>
      </c>
      <c r="H3" s="50" t="s">
        <v>221</v>
      </c>
      <c r="I3" s="51" t="s">
        <v>222</v>
      </c>
      <c r="J3" s="57" t="s">
        <v>117</v>
      </c>
      <c r="K3" s="53" t="s">
        <v>223</v>
      </c>
      <c r="L3" s="54" t="s">
        <v>224</v>
      </c>
      <c r="M3" s="55" t="s">
        <v>93</v>
      </c>
    </row>
    <row r="4" ht="38" customHeight="1" spans="1:13" x14ac:dyDescent="0.25">
      <c r="A4" s="38" t="s">
        <v>225</v>
      </c>
      <c r="B4" s="38" t="s">
        <v>226</v>
      </c>
      <c r="C4" s="38" t="s">
        <v>227</v>
      </c>
      <c r="D4" s="38" t="s">
        <v>228</v>
      </c>
      <c r="E4" s="39" t="s">
        <v>86</v>
      </c>
      <c r="F4" s="40">
        <f>TEXTJOIN(CHAR(10), TRUE, A4, B4, C4 &amp; " - " &amp; D4)</f>
      </c>
      <c r="G4" s="41" t="s">
        <v>229</v>
      </c>
      <c r="H4" s="42" t="s">
        <v>230</v>
      </c>
      <c r="I4" s="43" t="s">
        <v>231</v>
      </c>
      <c r="J4" s="56" t="s">
        <v>117</v>
      </c>
      <c r="K4" s="45" t="s">
        <v>232</v>
      </c>
      <c r="L4" s="46" t="s">
        <v>233</v>
      </c>
      <c r="M4" s="47" t="s">
        <v>93</v>
      </c>
    </row>
    <row r="5" ht="38" customHeight="1" spans="1:13" x14ac:dyDescent="0.25">
      <c r="A5" s="48" t="s">
        <v>234</v>
      </c>
      <c r="B5" s="48" t="s">
        <v>235</v>
      </c>
      <c r="C5" s="48" t="s">
        <v>236</v>
      </c>
      <c r="D5" s="48" t="s">
        <v>237</v>
      </c>
      <c r="E5" s="39" t="s">
        <v>86</v>
      </c>
      <c r="F5" s="40">
        <f>CONCAT(A5:D5)</f>
      </c>
      <c r="G5" s="49" t="s">
        <v>238</v>
      </c>
      <c r="H5" s="50" t="s">
        <v>239</v>
      </c>
      <c r="I5" s="51" t="s">
        <v>240</v>
      </c>
      <c r="J5" s="52" t="s">
        <v>90</v>
      </c>
      <c r="K5" s="53" t="s">
        <v>241</v>
      </c>
      <c r="L5" s="54" t="s">
        <v>242</v>
      </c>
      <c r="M5" s="55" t="s">
        <v>93</v>
      </c>
    </row>
    <row r="6" ht="38" customHeight="1" spans="1:13" x14ac:dyDescent="0.25">
      <c r="A6" s="38" t="s">
        <v>243</v>
      </c>
      <c r="B6" s="38">
        <v>1250000</v>
      </c>
      <c r="C6" s="38" t="s">
        <v>86</v>
      </c>
      <c r="D6" s="38" t="s">
        <v>86</v>
      </c>
      <c r="E6" s="39" t="s">
        <v>86</v>
      </c>
      <c r="F6" s="40">
        <f>"Employee: " &amp; A6 &amp; " | Total CTC: " &amp; TEXT(B6, "₹#,##,##0.00")</f>
      </c>
      <c r="G6" s="41" t="s">
        <v>244</v>
      </c>
      <c r="H6" s="42" t="s">
        <v>245</v>
      </c>
      <c r="I6" s="43" t="s">
        <v>246</v>
      </c>
      <c r="J6" s="56" t="s">
        <v>117</v>
      </c>
      <c r="K6" s="45" t="s">
        <v>247</v>
      </c>
      <c r="L6" s="46" t="s">
        <v>248</v>
      </c>
      <c r="M6" s="47" t="s">
        <v>93</v>
      </c>
    </row>
    <row r="7" ht="38" customHeight="1" spans="1:13" x14ac:dyDescent="0.25">
      <c r="A7" s="48" t="s">
        <v>249</v>
      </c>
      <c r="B7" s="48" t="s">
        <v>250</v>
      </c>
      <c r="C7" s="48" t="s">
        <v>251</v>
      </c>
      <c r="D7" s="48" t="s">
        <v>252</v>
      </c>
      <c r="E7" s="39" t="s">
        <v>86</v>
      </c>
      <c r="F7" s="40">
        <f>"'" &amp; TEXTJOIN("', '", TRUE, A7:D7) &amp; "'"</f>
      </c>
      <c r="G7" s="49" t="s">
        <v>253</v>
      </c>
      <c r="H7" s="50" t="s">
        <v>254</v>
      </c>
      <c r="I7" s="51" t="s">
        <v>255</v>
      </c>
      <c r="J7" s="59" t="s">
        <v>130</v>
      </c>
      <c r="K7" s="53" t="s">
        <v>256</v>
      </c>
      <c r="L7" s="54" t="s">
        <v>257</v>
      </c>
      <c r="M7" s="55" t="s">
        <v>93</v>
      </c>
    </row>
    <row r="8" ht="38" customHeight="1" spans="1:13" x14ac:dyDescent="0.25">
      <c r="A8" s="38" t="s">
        <v>258</v>
      </c>
      <c r="B8" s="38">
        <v>452</v>
      </c>
      <c r="C8" s="38" t="s">
        <v>86</v>
      </c>
      <c r="D8" s="38" t="s">
        <v>86</v>
      </c>
      <c r="E8" s="39" t="s">
        <v>86</v>
      </c>
      <c r="F8" s="40">
        <f>A8 &amp; "-" &amp; TEXT(B8, "00000")</f>
      </c>
      <c r="G8" s="41" t="s">
        <v>259</v>
      </c>
      <c r="H8" s="42" t="s">
        <v>260</v>
      </c>
      <c r="I8" s="43" t="s">
        <v>246</v>
      </c>
      <c r="J8" s="44" t="s">
        <v>90</v>
      </c>
      <c r="K8" s="45" t="s">
        <v>261</v>
      </c>
      <c r="L8" s="46" t="s">
        <v>262</v>
      </c>
      <c r="M8" s="47" t="s">
        <v>93</v>
      </c>
    </row>
    <row r="9" ht="38" customHeight="1" spans="1:13" x14ac:dyDescent="0.25">
      <c r="A9" s="48" t="s">
        <v>263</v>
      </c>
      <c r="B9" s="48" t="s">
        <v>264</v>
      </c>
      <c r="C9" s="48" t="s">
        <v>265</v>
      </c>
      <c r="D9" s="48" t="s">
        <v>266</v>
      </c>
      <c r="E9" s="39" t="s">
        <v>86</v>
      </c>
      <c r="F9" s="40">
        <f>TEXTJOIN("-", TRUE, A9:D9)</f>
      </c>
      <c r="G9" s="49" t="s">
        <v>267</v>
      </c>
      <c r="H9" s="50" t="s">
        <v>268</v>
      </c>
      <c r="I9" s="51" t="s">
        <v>222</v>
      </c>
      <c r="J9" s="52" t="s">
        <v>90</v>
      </c>
      <c r="K9" s="53" t="s">
        <v>269</v>
      </c>
      <c r="L9" s="54" t="s">
        <v>270</v>
      </c>
      <c r="M9" s="55" t="s">
        <v>93</v>
      </c>
    </row>
    <row r="10" ht="38" customHeight="1" spans="1:13" x14ac:dyDescent="0.25">
      <c r="A10" s="38" t="s">
        <v>271</v>
      </c>
      <c r="B10" s="38" t="s">
        <v>272</v>
      </c>
      <c r="C10" s="38" t="s">
        <v>273</v>
      </c>
      <c r="D10" s="38" t="s">
        <v>86</v>
      </c>
      <c r="E10" s="39" t="s">
        <v>86</v>
      </c>
      <c r="F10" s="40">
        <f>A10 &amp; " " &amp; B10 &amp; " &lt;" &amp; C10 &amp; "&gt;"</f>
      </c>
      <c r="G10" s="41" t="s">
        <v>274</v>
      </c>
      <c r="H10" s="42" t="s">
        <v>275</v>
      </c>
      <c r="I10" s="43" t="s">
        <v>214</v>
      </c>
      <c r="J10" s="44" t="s">
        <v>90</v>
      </c>
      <c r="K10" s="45" t="s">
        <v>276</v>
      </c>
      <c r="L10" s="46" t="s">
        <v>277</v>
      </c>
      <c r="M10" s="47" t="s">
        <v>93</v>
      </c>
    </row>
    <row r="11" ht="38" customHeight="1" spans="1:13" x14ac:dyDescent="0.25">
      <c r="A11" s="48" t="s">
        <v>278</v>
      </c>
      <c r="B11" s="48" t="s">
        <v>279</v>
      </c>
      <c r="C11" s="48" t="s">
        <v>280</v>
      </c>
      <c r="D11" s="48" t="s">
        <v>281</v>
      </c>
      <c r="E11" s="39" t="s">
        <v>86</v>
      </c>
      <c r="F11" s="40">
        <f>TEXTJOIN(" → ", TRUE, A11:D11)</f>
      </c>
      <c r="G11" s="49" t="s">
        <v>282</v>
      </c>
      <c r="H11" s="50" t="s">
        <v>283</v>
      </c>
      <c r="I11" s="51" t="s">
        <v>284</v>
      </c>
      <c r="J11" s="57" t="s">
        <v>117</v>
      </c>
      <c r="K11" s="53" t="s">
        <v>285</v>
      </c>
      <c r="L11" s="54" t="s">
        <v>286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 t="s">
        <v>287</v>
      </c>
      <c r="B2" s="38" t="s">
        <v>288</v>
      </c>
      <c r="C2" s="38" t="s">
        <v>86</v>
      </c>
      <c r="D2" s="38" t="s">
        <v>86</v>
      </c>
      <c r="E2" s="39" t="s">
        <v>86</v>
      </c>
      <c r="F2" s="40">
        <f>EXACT(A2, B2)</f>
      </c>
      <c r="G2" s="41" t="s">
        <v>114</v>
      </c>
      <c r="H2" s="42" t="s">
        <v>289</v>
      </c>
      <c r="I2" s="43" t="s">
        <v>116</v>
      </c>
      <c r="J2" s="44" t="s">
        <v>90</v>
      </c>
      <c r="K2" s="45" t="s">
        <v>290</v>
      </c>
      <c r="L2" s="46" t="s">
        <v>291</v>
      </c>
      <c r="M2" s="47" t="s">
        <v>93</v>
      </c>
    </row>
    <row r="3" ht="38" customHeight="1" spans="1:13" x14ac:dyDescent="0.25">
      <c r="A3" s="48" t="s">
        <v>292</v>
      </c>
      <c r="B3" s="48" t="s">
        <v>86</v>
      </c>
      <c r="C3" s="48" t="s">
        <v>86</v>
      </c>
      <c r="D3" s="48" t="s">
        <v>86</v>
      </c>
      <c r="E3" s="39" t="s">
        <v>86</v>
      </c>
      <c r="F3" s="40">
        <f>REPLACE(A3, 1, 12, "XXXXXXXXXXXX")</f>
      </c>
      <c r="G3" s="49" t="s">
        <v>293</v>
      </c>
      <c r="H3" s="50" t="s">
        <v>294</v>
      </c>
      <c r="I3" s="51" t="s">
        <v>295</v>
      </c>
      <c r="J3" s="57" t="s">
        <v>117</v>
      </c>
      <c r="K3" s="53" t="s">
        <v>296</v>
      </c>
      <c r="L3" s="54" t="s">
        <v>297</v>
      </c>
      <c r="M3" s="55" t="s">
        <v>93</v>
      </c>
    </row>
    <row r="4" ht="38" customHeight="1" spans="1:13" x14ac:dyDescent="0.25">
      <c r="A4" s="38" t="s">
        <v>298</v>
      </c>
      <c r="B4" s="38" t="s">
        <v>86</v>
      </c>
      <c r="C4" s="38" t="s">
        <v>86</v>
      </c>
      <c r="D4" s="38" t="s">
        <v>86</v>
      </c>
      <c r="E4" s="39" t="s">
        <v>86</v>
      </c>
      <c r="F4" s="40">
        <f>SUBSTITUTE(A4, "-", "/", 2)</f>
      </c>
      <c r="G4" s="41" t="s">
        <v>299</v>
      </c>
      <c r="H4" s="42" t="s">
        <v>300</v>
      </c>
      <c r="I4" s="43" t="s">
        <v>301</v>
      </c>
      <c r="J4" s="56" t="s">
        <v>117</v>
      </c>
      <c r="K4" s="45" t="s">
        <v>302</v>
      </c>
      <c r="L4" s="46" t="s">
        <v>303</v>
      </c>
      <c r="M4" s="47" t="s">
        <v>93</v>
      </c>
    </row>
    <row r="5" ht="38" customHeight="1" spans="1:13" x14ac:dyDescent="0.25">
      <c r="A5" s="48" t="s">
        <v>304</v>
      </c>
      <c r="B5" s="48" t="s">
        <v>86</v>
      </c>
      <c r="C5" s="48" t="s">
        <v>86</v>
      </c>
      <c r="D5" s="48" t="s">
        <v>86</v>
      </c>
      <c r="E5" s="39" t="s">
        <v>86</v>
      </c>
      <c r="F5" s="40">
        <f>LEN(A5)-LEN(SUBSTITUTE(A5, ",", ""))+1</f>
      </c>
      <c r="G5" s="49" t="s">
        <v>305</v>
      </c>
      <c r="H5" s="50" t="s">
        <v>306</v>
      </c>
      <c r="I5" s="51" t="s">
        <v>307</v>
      </c>
      <c r="J5" s="57" t="s">
        <v>117</v>
      </c>
      <c r="K5" s="53" t="s">
        <v>308</v>
      </c>
      <c r="L5" s="54" t="s">
        <v>309</v>
      </c>
      <c r="M5" s="55" t="s">
        <v>93</v>
      </c>
    </row>
    <row r="6" ht="38" customHeight="1" spans="1:13" x14ac:dyDescent="0.25">
      <c r="A6" s="38" t="s">
        <v>310</v>
      </c>
      <c r="B6" s="38" t="s">
        <v>86</v>
      </c>
      <c r="C6" s="38" t="s">
        <v>86</v>
      </c>
      <c r="D6" s="38" t="s">
        <v>86</v>
      </c>
      <c r="E6" s="39" t="s">
        <v>86</v>
      </c>
      <c r="F6" s="40">
        <f>TRIM(SUBSTITUTE(A6, CHAR(160), " "))</f>
      </c>
      <c r="G6" s="41" t="s">
        <v>311</v>
      </c>
      <c r="H6" s="42" t="s">
        <v>312</v>
      </c>
      <c r="I6" s="43" t="s">
        <v>148</v>
      </c>
      <c r="J6" s="56" t="s">
        <v>117</v>
      </c>
      <c r="K6" s="45" t="s">
        <v>313</v>
      </c>
      <c r="L6" s="46" t="s">
        <v>314</v>
      </c>
      <c r="M6" s="47" t="s">
        <v>93</v>
      </c>
    </row>
    <row r="7" ht="38" customHeight="1" spans="1:13" x14ac:dyDescent="0.25">
      <c r="A7" s="48" t="s">
        <v>315</v>
      </c>
      <c r="B7" s="48" t="s">
        <v>86</v>
      </c>
      <c r="C7" s="48" t="s">
        <v>86</v>
      </c>
      <c r="D7" s="48" t="s">
        <v>86</v>
      </c>
      <c r="E7" s="39" t="s">
        <v>86</v>
      </c>
      <c r="F7" s="40">
        <f>SUBSTITUTE(SUBSTITUTE(SUBSTITUTE(SUBSTITUTE(A7, "(", ""), ")", ""), " ", ""), "-", "")</f>
      </c>
      <c r="G7" s="49" t="s">
        <v>316</v>
      </c>
      <c r="H7" s="50" t="s">
        <v>317</v>
      </c>
      <c r="I7" s="51" t="s">
        <v>318</v>
      </c>
      <c r="J7" s="59" t="s">
        <v>130</v>
      </c>
      <c r="K7" s="53" t="s">
        <v>319</v>
      </c>
      <c r="L7" s="54" t="s">
        <v>320</v>
      </c>
      <c r="M7" s="55" t="s">
        <v>93</v>
      </c>
    </row>
    <row r="8" ht="38" customHeight="1" spans="1:13" x14ac:dyDescent="0.25">
      <c r="A8" s="38" t="s">
        <v>321</v>
      </c>
      <c r="B8" s="38" t="s">
        <v>86</v>
      </c>
      <c r="C8" s="38" t="s">
        <v>86</v>
      </c>
      <c r="D8" s="38" t="s">
        <v>86</v>
      </c>
      <c r="E8" s="39" t="s">
        <v>86</v>
      </c>
      <c r="F8" s="40">
        <f>REPLACE(A8, FIND(".", A8) + 1, LEN(A8) - FIND(".", A8), "webp")</f>
      </c>
      <c r="G8" s="41" t="s">
        <v>322</v>
      </c>
      <c r="H8" s="42" t="s">
        <v>323</v>
      </c>
      <c r="I8" s="43" t="s">
        <v>324</v>
      </c>
      <c r="J8" s="56" t="s">
        <v>117</v>
      </c>
      <c r="K8" s="45" t="s">
        <v>325</v>
      </c>
      <c r="L8" s="46" t="s">
        <v>326</v>
      </c>
      <c r="M8" s="47" t="s">
        <v>93</v>
      </c>
    </row>
    <row r="9" ht="38" customHeight="1" spans="1:13" x14ac:dyDescent="0.25">
      <c r="A9" s="48" t="s">
        <v>327</v>
      </c>
      <c r="B9" s="48" t="s">
        <v>86</v>
      </c>
      <c r="C9" s="48" t="s">
        <v>86</v>
      </c>
      <c r="D9" s="48" t="s">
        <v>86</v>
      </c>
      <c r="E9" s="39" t="s">
        <v>86</v>
      </c>
      <c r="F9" s="40">
        <f>SUBSTITUTE(A9, "V1", "V2")</f>
      </c>
      <c r="G9" s="49" t="s">
        <v>328</v>
      </c>
      <c r="H9" s="50" t="s">
        <v>329</v>
      </c>
      <c r="I9" s="51" t="s">
        <v>330</v>
      </c>
      <c r="J9" s="52" t="s">
        <v>90</v>
      </c>
      <c r="K9" s="53" t="s">
        <v>331</v>
      </c>
      <c r="L9" s="54" t="s">
        <v>332</v>
      </c>
      <c r="M9" s="55" t="s">
        <v>93</v>
      </c>
    </row>
    <row r="10" ht="38" customHeight="1" spans="1:13" x14ac:dyDescent="0.25">
      <c r="A10" s="38" t="s">
        <v>333</v>
      </c>
      <c r="B10" s="38" t="s">
        <v>86</v>
      </c>
      <c r="C10" s="38" t="s">
        <v>86</v>
      </c>
      <c r="D10" s="38" t="s">
        <v>86</v>
      </c>
      <c r="E10" s="39" t="s">
        <v>86</v>
      </c>
      <c r="F10" s="40">
        <f>SUBSTITUTE(A10, "/", "|", LEN(A10)-LEN(SUBSTITUTE(A10, "/", "")))</f>
      </c>
      <c r="G10" s="41" t="s">
        <v>334</v>
      </c>
      <c r="H10" s="42" t="s">
        <v>335</v>
      </c>
      <c r="I10" s="43" t="s">
        <v>336</v>
      </c>
      <c r="J10" s="58" t="s">
        <v>130</v>
      </c>
      <c r="K10" s="45" t="s">
        <v>337</v>
      </c>
      <c r="L10" s="46" t="s">
        <v>338</v>
      </c>
      <c r="M10" s="47" t="s">
        <v>93</v>
      </c>
    </row>
    <row r="11" ht="38" customHeight="1" spans="1:13" x14ac:dyDescent="0.25">
      <c r="A11" s="48" t="s">
        <v>339</v>
      </c>
      <c r="B11" s="48" t="s">
        <v>86</v>
      </c>
      <c r="C11" s="48" t="s">
        <v>86</v>
      </c>
      <c r="D11" s="48" t="s">
        <v>86</v>
      </c>
      <c r="E11" s="39" t="s">
        <v>86</v>
      </c>
      <c r="F11" s="40">
        <f>REPLACE(A11, 4, 0, "-")</f>
      </c>
      <c r="G11" s="49" t="s">
        <v>340</v>
      </c>
      <c r="H11" s="50" t="s">
        <v>341</v>
      </c>
      <c r="I11" s="51" t="s">
        <v>342</v>
      </c>
      <c r="J11" s="52" t="s">
        <v>90</v>
      </c>
      <c r="K11" s="53" t="s">
        <v>343</v>
      </c>
      <c r="L11" s="54" t="s">
        <v>344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>
        <v>1849200.75</v>
      </c>
      <c r="B2" s="38" t="s">
        <v>86</v>
      </c>
      <c r="C2" s="38" t="s">
        <v>86</v>
      </c>
      <c r="D2" s="38" t="s">
        <v>86</v>
      </c>
      <c r="E2" s="39" t="s">
        <v>86</v>
      </c>
      <c r="F2" s="40">
        <f>TEXT(A2, "₹#,##,##0.00")</f>
      </c>
      <c r="G2" s="41" t="s">
        <v>345</v>
      </c>
      <c r="H2" s="42" t="s">
        <v>346</v>
      </c>
      <c r="I2" s="43" t="s">
        <v>347</v>
      </c>
      <c r="J2" s="44" t="s">
        <v>90</v>
      </c>
      <c r="K2" s="45" t="s">
        <v>348</v>
      </c>
      <c r="L2" s="46" t="s">
        <v>349</v>
      </c>
      <c r="M2" s="47" t="s">
        <v>93</v>
      </c>
    </row>
    <row r="3" ht="38" customHeight="1" spans="1:13" x14ac:dyDescent="0.25">
      <c r="A3" s="48" t="s">
        <v>350</v>
      </c>
      <c r="B3" s="48" t="s">
        <v>86</v>
      </c>
      <c r="C3" s="48" t="s">
        <v>86</v>
      </c>
      <c r="D3" s="48" t="s">
        <v>86</v>
      </c>
      <c r="E3" s="39" t="s">
        <v>86</v>
      </c>
      <c r="F3" s="40">
        <f>NUMBERVALUE(TRIM(SUBSTITUTE(A3, "€", "")), ",", ".")</f>
      </c>
      <c r="G3" s="49" t="s">
        <v>351</v>
      </c>
      <c r="H3" s="50" t="s">
        <v>352</v>
      </c>
      <c r="I3" s="51" t="s">
        <v>353</v>
      </c>
      <c r="J3" s="57" t="s">
        <v>117</v>
      </c>
      <c r="K3" s="53" t="s">
        <v>354</v>
      </c>
      <c r="L3" s="54" t="s">
        <v>355</v>
      </c>
      <c r="M3" s="55" t="s">
        <v>93</v>
      </c>
    </row>
    <row r="4" ht="38" customHeight="1" spans="1:13" x14ac:dyDescent="0.25">
      <c r="A4" s="38" t="s">
        <v>356</v>
      </c>
      <c r="B4" s="38" t="s">
        <v>86</v>
      </c>
      <c r="C4" s="38" t="s">
        <v>86</v>
      </c>
      <c r="D4" s="38" t="s">
        <v>86</v>
      </c>
      <c r="E4" s="39" t="s">
        <v>86</v>
      </c>
      <c r="F4" s="40">
        <f>VALUE(A4)</f>
      </c>
      <c r="G4" s="41" t="s">
        <v>357</v>
      </c>
      <c r="H4" s="42" t="s">
        <v>358</v>
      </c>
      <c r="I4" s="43" t="s">
        <v>359</v>
      </c>
      <c r="J4" s="44" t="s">
        <v>90</v>
      </c>
      <c r="K4" s="45" t="s">
        <v>360</v>
      </c>
      <c r="L4" s="46" t="s">
        <v>361</v>
      </c>
      <c r="M4" s="47" t="s">
        <v>93</v>
      </c>
    </row>
    <row r="5" ht="38" customHeight="1" spans="1:13" x14ac:dyDescent="0.25">
      <c r="A5" s="48">
        <v>45884</v>
      </c>
      <c r="B5" s="48" t="s">
        <v>86</v>
      </c>
      <c r="C5" s="48" t="s">
        <v>86</v>
      </c>
      <c r="D5" s="48" t="s">
        <v>86</v>
      </c>
      <c r="E5" s="39" t="s">
        <v>86</v>
      </c>
      <c r="F5" s="40">
        <f>TEXT(A5, "dddd, dd mmmm yyyy")</f>
      </c>
      <c r="G5" s="49" t="s">
        <v>362</v>
      </c>
      <c r="H5" s="50" t="s">
        <v>363</v>
      </c>
      <c r="I5" s="51" t="s">
        <v>364</v>
      </c>
      <c r="J5" s="52" t="s">
        <v>90</v>
      </c>
      <c r="K5" s="53" t="s">
        <v>365</v>
      </c>
      <c r="L5" s="54" t="s">
        <v>366</v>
      </c>
      <c r="M5" s="55" t="s">
        <v>93</v>
      </c>
    </row>
    <row r="6" ht="38" customHeight="1" spans="1:13" x14ac:dyDescent="0.25">
      <c r="A6" s="38">
        <v>0.1875</v>
      </c>
      <c r="B6" s="38" t="s">
        <v>86</v>
      </c>
      <c r="C6" s="38" t="s">
        <v>86</v>
      </c>
      <c r="D6" s="38" t="s">
        <v>86</v>
      </c>
      <c r="E6" s="39" t="s">
        <v>86</v>
      </c>
      <c r="F6" s="40">
        <f>TEXT(A6, "0.0%")</f>
      </c>
      <c r="G6" s="41" t="s">
        <v>367</v>
      </c>
      <c r="H6" s="42" t="s">
        <v>368</v>
      </c>
      <c r="I6" s="43" t="s">
        <v>369</v>
      </c>
      <c r="J6" s="44" t="s">
        <v>90</v>
      </c>
      <c r="K6" s="45" t="s">
        <v>370</v>
      </c>
      <c r="L6" s="46" t="s">
        <v>371</v>
      </c>
      <c r="M6" s="47" t="s">
        <v>93</v>
      </c>
    </row>
    <row r="7" ht="38" customHeight="1" spans="1:13" x14ac:dyDescent="0.25">
      <c r="A7" s="48">
        <v>1.5</v>
      </c>
      <c r="B7" s="48" t="s">
        <v>86</v>
      </c>
      <c r="C7" s="48" t="s">
        <v>86</v>
      </c>
      <c r="D7" s="48" t="s">
        <v>86</v>
      </c>
      <c r="E7" s="39" t="s">
        <v>86</v>
      </c>
      <c r="F7" s="40">
        <f>TEXT(A7, "[h]:mm:ss")</f>
      </c>
      <c r="G7" s="49" t="s">
        <v>372</v>
      </c>
      <c r="H7" s="50" t="s">
        <v>373</v>
      </c>
      <c r="I7" s="51" t="s">
        <v>374</v>
      </c>
      <c r="J7" s="57" t="s">
        <v>117</v>
      </c>
      <c r="K7" s="53" t="s">
        <v>375</v>
      </c>
      <c r="L7" s="54" t="s">
        <v>376</v>
      </c>
      <c r="M7" s="55" t="s">
        <v>93</v>
      </c>
    </row>
    <row r="8" ht="38" customHeight="1" spans="1:13" x14ac:dyDescent="0.25">
      <c r="A8" s="38">
        <v>9830123456</v>
      </c>
      <c r="B8" s="38" t="s">
        <v>86</v>
      </c>
      <c r="C8" s="38" t="s">
        <v>86</v>
      </c>
      <c r="D8" s="38" t="s">
        <v>86</v>
      </c>
      <c r="E8" s="39" t="s">
        <v>86</v>
      </c>
      <c r="F8" s="40">
        <f>TEXT(A8, "+91 00000-00000")</f>
      </c>
      <c r="G8" s="41" t="s">
        <v>377</v>
      </c>
      <c r="H8" s="42" t="s">
        <v>378</v>
      </c>
      <c r="I8" s="43" t="s">
        <v>347</v>
      </c>
      <c r="J8" s="44" t="s">
        <v>90</v>
      </c>
      <c r="K8" s="45" t="s">
        <v>379</v>
      </c>
      <c r="L8" s="46" t="s">
        <v>380</v>
      </c>
      <c r="M8" s="47" t="s">
        <v>93</v>
      </c>
    </row>
    <row r="9" ht="38" customHeight="1" spans="1:13" x14ac:dyDescent="0.25">
      <c r="A9" s="48">
        <v>12450000</v>
      </c>
      <c r="B9" s="48" t="s">
        <v>86</v>
      </c>
      <c r="C9" s="48" t="s">
        <v>86</v>
      </c>
      <c r="D9" s="48" t="s">
        <v>86</v>
      </c>
      <c r="E9" s="39" t="s">
        <v>86</v>
      </c>
      <c r="F9" s="40">
        <f>TEXT(A9, "$#,##0.00,,\M")</f>
      </c>
      <c r="G9" s="49" t="s">
        <v>381</v>
      </c>
      <c r="H9" s="50" t="s">
        <v>382</v>
      </c>
      <c r="I9" s="51" t="s">
        <v>383</v>
      </c>
      <c r="J9" s="59" t="s">
        <v>130</v>
      </c>
      <c r="K9" s="53" t="s">
        <v>384</v>
      </c>
      <c r="L9" s="54" t="s">
        <v>385</v>
      </c>
      <c r="M9" s="55" t="s">
        <v>93</v>
      </c>
    </row>
    <row r="10" ht="38" customHeight="1" spans="1:13" x14ac:dyDescent="0.25">
      <c r="A10" s="38">
        <v>-4500.5</v>
      </c>
      <c r="B10" s="38" t="s">
        <v>86</v>
      </c>
      <c r="C10" s="38" t="s">
        <v>86</v>
      </c>
      <c r="D10" s="38" t="s">
        <v>86</v>
      </c>
      <c r="E10" s="39" t="s">
        <v>86</v>
      </c>
      <c r="F10" s="40">
        <f>TEXT(A10, "$#,##0.00;($#,##0.00);"-"")</f>
      </c>
      <c r="G10" s="41" t="s">
        <v>386</v>
      </c>
      <c r="H10" s="42" t="s">
        <v>387</v>
      </c>
      <c r="I10" s="43" t="s">
        <v>388</v>
      </c>
      <c r="J10" s="58" t="s">
        <v>130</v>
      </c>
      <c r="K10" s="45" t="s">
        <v>389</v>
      </c>
      <c r="L10" s="46" t="s">
        <v>390</v>
      </c>
      <c r="M10" s="47" t="s">
        <v>93</v>
      </c>
    </row>
    <row r="11" ht="38" customHeight="1" spans="1:13" x14ac:dyDescent="0.25">
      <c r="A11" s="48">
        <v>45884</v>
      </c>
      <c r="B11" s="48">
        <v>485000</v>
      </c>
      <c r="C11" s="48" t="s">
        <v>86</v>
      </c>
      <c r="D11" s="48" t="s">
        <v>86</v>
      </c>
      <c r="E11" s="39" t="s">
        <v>86</v>
      </c>
      <c r="F11" s="40">
        <f>"Report Date: " &amp; TEXT(A11, "dd-mmm-yyyy") &amp; " | Revenue: " &amp; TEXT(B11, "$#,##0")</f>
      </c>
      <c r="G11" s="49" t="s">
        <v>391</v>
      </c>
      <c r="H11" s="50" t="s">
        <v>392</v>
      </c>
      <c r="I11" s="51" t="s">
        <v>393</v>
      </c>
      <c r="J11" s="57" t="s">
        <v>117</v>
      </c>
      <c r="K11" s="53" t="s">
        <v>394</v>
      </c>
      <c r="L11" s="54" t="s">
        <v>395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>
        <v>2025</v>
      </c>
      <c r="B2" s="38">
        <v>8</v>
      </c>
      <c r="C2" s="38">
        <v>15</v>
      </c>
      <c r="D2" s="38" t="s">
        <v>86</v>
      </c>
      <c r="E2" s="39" t="s">
        <v>86</v>
      </c>
      <c r="F2" s="40">
        <f>DATE(A2, B2, C2)</f>
      </c>
      <c r="G2" s="41" t="s">
        <v>396</v>
      </c>
      <c r="H2" s="42" t="s">
        <v>397</v>
      </c>
      <c r="I2" s="43" t="s">
        <v>398</v>
      </c>
      <c r="J2" s="44" t="s">
        <v>90</v>
      </c>
      <c r="K2" s="45" t="s">
        <v>399</v>
      </c>
      <c r="L2" s="46" t="s">
        <v>400</v>
      </c>
      <c r="M2" s="47" t="s">
        <v>93</v>
      </c>
    </row>
    <row r="3" ht="38" customHeight="1" spans="1:13" x14ac:dyDescent="0.25">
      <c r="A3" s="48">
        <v>23941</v>
      </c>
      <c r="B3" s="48" t="s">
        <v>86</v>
      </c>
      <c r="C3" s="48" t="s">
        <v>86</v>
      </c>
      <c r="D3" s="48" t="s">
        <v>86</v>
      </c>
      <c r="E3" s="39" t="s">
        <v>86</v>
      </c>
      <c r="F3" s="40">
        <f>YEAR(A3)</f>
      </c>
      <c r="G3" s="49" t="s">
        <v>401</v>
      </c>
      <c r="H3" s="50" t="s">
        <v>402</v>
      </c>
      <c r="I3" s="51" t="s">
        <v>403</v>
      </c>
      <c r="J3" s="52" t="s">
        <v>90</v>
      </c>
      <c r="K3" s="53" t="s">
        <v>404</v>
      </c>
      <c r="L3" s="54" t="s">
        <v>405</v>
      </c>
      <c r="M3" s="55" t="s">
        <v>93</v>
      </c>
    </row>
    <row r="4" ht="38" customHeight="1" spans="1:13" x14ac:dyDescent="0.25">
      <c r="A4" s="38" t="s">
        <v>406</v>
      </c>
      <c r="B4" s="38" t="s">
        <v>86</v>
      </c>
      <c r="C4" s="38" t="s">
        <v>86</v>
      </c>
      <c r="D4" s="38" t="s">
        <v>86</v>
      </c>
      <c r="E4" s="39" t="s">
        <v>86</v>
      </c>
      <c r="F4" s="40">
        <f>DATEVALUE(A4)</f>
      </c>
      <c r="G4" s="41" t="s">
        <v>407</v>
      </c>
      <c r="H4" s="42" t="s">
        <v>408</v>
      </c>
      <c r="I4" s="43" t="s">
        <v>409</v>
      </c>
      <c r="J4" s="44" t="s">
        <v>90</v>
      </c>
      <c r="K4" s="45" t="s">
        <v>410</v>
      </c>
      <c r="L4" s="46" t="s">
        <v>411</v>
      </c>
      <c r="M4" s="47" t="s">
        <v>93</v>
      </c>
    </row>
    <row r="5" ht="38" customHeight="1" spans="1:13" x14ac:dyDescent="0.25">
      <c r="A5" s="48">
        <v>45884</v>
      </c>
      <c r="B5" s="48" t="s">
        <v>86</v>
      </c>
      <c r="C5" s="48" t="s">
        <v>86</v>
      </c>
      <c r="D5" s="48" t="s">
        <v>86</v>
      </c>
      <c r="E5" s="39" t="s">
        <v>86</v>
      </c>
      <c r="F5" s="40">
        <f>WEEKDAY(A5, 2)</f>
      </c>
      <c r="G5" s="49" t="s">
        <v>412</v>
      </c>
      <c r="H5" s="50" t="s">
        <v>413</v>
      </c>
      <c r="I5" s="51" t="s">
        <v>414</v>
      </c>
      <c r="J5" s="52" t="s">
        <v>90</v>
      </c>
      <c r="K5" s="53" t="s">
        <v>415</v>
      </c>
      <c r="L5" s="54" t="s">
        <v>416</v>
      </c>
      <c r="M5" s="55" t="s">
        <v>93</v>
      </c>
    </row>
    <row r="6" ht="38" customHeight="1" spans="1:13" x14ac:dyDescent="0.25">
      <c r="A6" s="38">
        <v>45884</v>
      </c>
      <c r="B6" s="38">
        <v>90</v>
      </c>
      <c r="C6" s="38" t="s">
        <v>86</v>
      </c>
      <c r="D6" s="38" t="s">
        <v>86</v>
      </c>
      <c r="E6" s="39" t="s">
        <v>86</v>
      </c>
      <c r="F6" s="40">
        <f>A6 + B6</f>
      </c>
      <c r="G6" s="41" t="s">
        <v>417</v>
      </c>
      <c r="H6" s="42" t="s">
        <v>418</v>
      </c>
      <c r="I6" s="43" t="s">
        <v>419</v>
      </c>
      <c r="J6" s="44" t="s">
        <v>90</v>
      </c>
      <c r="K6" s="45" t="s">
        <v>420</v>
      </c>
      <c r="L6" s="46" t="s">
        <v>421</v>
      </c>
      <c r="M6" s="47" t="s">
        <v>93</v>
      </c>
    </row>
    <row r="7" ht="38" customHeight="1" spans="1:13" x14ac:dyDescent="0.25">
      <c r="A7" s="48">
        <v>45884</v>
      </c>
      <c r="B7" s="48" t="s">
        <v>86</v>
      </c>
      <c r="C7" s="48" t="s">
        <v>86</v>
      </c>
      <c r="D7" s="48" t="s">
        <v>86</v>
      </c>
      <c r="E7" s="39" t="s">
        <v>86</v>
      </c>
      <c r="F7" s="40">
        <f>IF(WEEKDAY(A7, 2) &gt;= 6, "Weekend", "Weekday")</f>
      </c>
      <c r="G7" s="49" t="s">
        <v>422</v>
      </c>
      <c r="H7" s="50" t="s">
        <v>423</v>
      </c>
      <c r="I7" s="51" t="s">
        <v>424</v>
      </c>
      <c r="J7" s="52" t="s">
        <v>90</v>
      </c>
      <c r="K7" s="53" t="s">
        <v>425</v>
      </c>
      <c r="L7" s="54" t="s">
        <v>426</v>
      </c>
      <c r="M7" s="55" t="s">
        <v>93</v>
      </c>
    </row>
    <row r="8" ht="38" customHeight="1" spans="1:13" x14ac:dyDescent="0.25">
      <c r="A8" s="38">
        <v>45884</v>
      </c>
      <c r="B8" s="38" t="s">
        <v>86</v>
      </c>
      <c r="C8" s="38" t="s">
        <v>86</v>
      </c>
      <c r="D8" s="38" t="s">
        <v>86</v>
      </c>
      <c r="E8" s="39" t="s">
        <v>86</v>
      </c>
      <c r="F8" s="40">
        <f>DATE(YEAR(A8), MONTH(A8) + 1, 0)</f>
      </c>
      <c r="G8" s="41" t="s">
        <v>427</v>
      </c>
      <c r="H8" s="42" t="s">
        <v>428</v>
      </c>
      <c r="I8" s="43" t="s">
        <v>429</v>
      </c>
      <c r="J8" s="56" t="s">
        <v>117</v>
      </c>
      <c r="K8" s="45" t="s">
        <v>430</v>
      </c>
      <c r="L8" s="46" t="s">
        <v>431</v>
      </c>
      <c r="M8" s="47" t="s">
        <v>93</v>
      </c>
    </row>
    <row r="9" ht="38" customHeight="1" spans="1:13" x14ac:dyDescent="0.25">
      <c r="A9" s="48">
        <v>45884</v>
      </c>
      <c r="B9" s="48" t="s">
        <v>86</v>
      </c>
      <c r="C9" s="48" t="s">
        <v>86</v>
      </c>
      <c r="D9" s="48" t="s">
        <v>86</v>
      </c>
      <c r="E9" s="39" t="s">
        <v>86</v>
      </c>
      <c r="F9" s="40">
        <f>"Q" &amp; ROUNDUP(MONTH(A9) / 3, 0)</f>
      </c>
      <c r="G9" s="49" t="s">
        <v>432</v>
      </c>
      <c r="H9" s="50" t="s">
        <v>433</v>
      </c>
      <c r="I9" s="51" t="s">
        <v>434</v>
      </c>
      <c r="J9" s="57" t="s">
        <v>117</v>
      </c>
      <c r="K9" s="53" t="s">
        <v>435</v>
      </c>
      <c r="L9" s="54" t="s">
        <v>436</v>
      </c>
      <c r="M9" s="55" t="s">
        <v>93</v>
      </c>
    </row>
    <row r="10" ht="38" customHeight="1" spans="1:13" x14ac:dyDescent="0.25">
      <c r="A10" s="38">
        <v>45658</v>
      </c>
      <c r="B10" s="38">
        <v>45884</v>
      </c>
      <c r="C10" s="38" t="s">
        <v>86</v>
      </c>
      <c r="D10" s="38" t="s">
        <v>86</v>
      </c>
      <c r="E10" s="39" t="s">
        <v>86</v>
      </c>
      <c r="F10" s="40">
        <f>B10 - A10 + 1</f>
      </c>
      <c r="G10" s="41" t="s">
        <v>437</v>
      </c>
      <c r="H10" s="42" t="s">
        <v>438</v>
      </c>
      <c r="I10" s="43" t="s">
        <v>439</v>
      </c>
      <c r="J10" s="44" t="s">
        <v>90</v>
      </c>
      <c r="K10" s="45" t="s">
        <v>440</v>
      </c>
      <c r="L10" s="46" t="s">
        <v>441</v>
      </c>
      <c r="M10" s="47" t="s">
        <v>93</v>
      </c>
    </row>
    <row r="11" ht="38" customHeight="1" spans="1:13" x14ac:dyDescent="0.25">
      <c r="A11" s="48">
        <v>45884</v>
      </c>
      <c r="B11" s="48" t="s">
        <v>86</v>
      </c>
      <c r="C11" s="48" t="s">
        <v>86</v>
      </c>
      <c r="D11" s="48" t="s">
        <v>86</v>
      </c>
      <c r="E11" s="39" t="s">
        <v>86</v>
      </c>
      <c r="F11" s="40">
        <f>DATE(YEAR(A11), 1, 1)</f>
      </c>
      <c r="G11" s="49" t="s">
        <v>442</v>
      </c>
      <c r="H11" s="50" t="s">
        <v>443</v>
      </c>
      <c r="I11" s="51" t="s">
        <v>444</v>
      </c>
      <c r="J11" s="52" t="s">
        <v>90</v>
      </c>
      <c r="K11" s="53" t="s">
        <v>445</v>
      </c>
      <c r="L11" s="54" t="s">
        <v>446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>
        <v>45823</v>
      </c>
      <c r="B2" s="38" t="s">
        <v>86</v>
      </c>
      <c r="C2" s="38" t="s">
        <v>86</v>
      </c>
      <c r="D2" s="38" t="s">
        <v>86</v>
      </c>
      <c r="E2" s="39" t="s">
        <v>86</v>
      </c>
      <c r="F2" s="40">
        <f>IFS(TODAY()-A2&lt;=30, "0-30 Days", TODAY()-A2&lt;=60, "31-60 Days", TODAY()-A2&lt;=90, "61-90 Days", TRUE, "90+ Days Overdue")</f>
      </c>
      <c r="G2" s="41" t="s">
        <v>447</v>
      </c>
      <c r="H2" s="42" t="s">
        <v>448</v>
      </c>
      <c r="I2" s="43" t="s">
        <v>449</v>
      </c>
      <c r="J2" s="56" t="s">
        <v>117</v>
      </c>
      <c r="K2" s="45" t="s">
        <v>450</v>
      </c>
      <c r="L2" s="46" t="s">
        <v>451</v>
      </c>
      <c r="M2" s="47" t="s">
        <v>93</v>
      </c>
    </row>
    <row r="3" ht="38" customHeight="1" spans="1:13" x14ac:dyDescent="0.25">
      <c r="A3" s="48">
        <v>45884</v>
      </c>
      <c r="B3" s="48">
        <v>18</v>
      </c>
      <c r="C3" s="48" t="s">
        <v>86</v>
      </c>
      <c r="D3" s="48" t="s">
        <v>86</v>
      </c>
      <c r="E3" s="39" t="s">
        <v>86</v>
      </c>
      <c r="F3" s="40">
        <f>EDATE(A3, B3)</f>
      </c>
      <c r="G3" s="49" t="s">
        <v>452</v>
      </c>
      <c r="H3" s="50" t="s">
        <v>453</v>
      </c>
      <c r="I3" s="51" t="s">
        <v>454</v>
      </c>
      <c r="J3" s="52" t="s">
        <v>90</v>
      </c>
      <c r="K3" s="53" t="s">
        <v>455</v>
      </c>
      <c r="L3" s="54" t="s">
        <v>456</v>
      </c>
      <c r="M3" s="55" t="s">
        <v>93</v>
      </c>
    </row>
    <row r="4" ht="38" customHeight="1" spans="1:13" x14ac:dyDescent="0.25">
      <c r="A4" s="38">
        <v>45700</v>
      </c>
      <c r="B4" s="38" t="s">
        <v>86</v>
      </c>
      <c r="C4" s="38" t="s">
        <v>86</v>
      </c>
      <c r="D4" s="38" t="s">
        <v>86</v>
      </c>
      <c r="E4" s="39" t="s">
        <v>86</v>
      </c>
      <c r="F4" s="40">
        <f>EOMONTH(A4, 0)</f>
      </c>
      <c r="G4" s="41" t="s">
        <v>457</v>
      </c>
      <c r="H4" s="42" t="s">
        <v>458</v>
      </c>
      <c r="I4" s="43" t="s">
        <v>459</v>
      </c>
      <c r="J4" s="44" t="s">
        <v>90</v>
      </c>
      <c r="K4" s="45" t="s">
        <v>460</v>
      </c>
      <c r="L4" s="46" t="s">
        <v>461</v>
      </c>
      <c r="M4" s="47" t="s">
        <v>93</v>
      </c>
    </row>
    <row r="5" ht="38" customHeight="1" spans="1:13" x14ac:dyDescent="0.25">
      <c r="A5" s="48">
        <v>36526</v>
      </c>
      <c r="B5" s="48">
        <v>45884</v>
      </c>
      <c r="C5" s="48" t="s">
        <v>86</v>
      </c>
      <c r="D5" s="48" t="s">
        <v>86</v>
      </c>
      <c r="E5" s="39" t="s">
        <v>86</v>
      </c>
      <c r="F5" s="40">
        <f>DATEDIF(A5, B5, "Y")</f>
      </c>
      <c r="G5" s="49" t="s">
        <v>462</v>
      </c>
      <c r="H5" s="50" t="s">
        <v>463</v>
      </c>
      <c r="I5" s="51" t="s">
        <v>464</v>
      </c>
      <c r="J5" s="52" t="s">
        <v>90</v>
      </c>
      <c r="K5" s="53" t="s">
        <v>465</v>
      </c>
      <c r="L5" s="54" t="s">
        <v>466</v>
      </c>
      <c r="M5" s="55" t="s">
        <v>93</v>
      </c>
    </row>
    <row r="6" ht="38" customHeight="1" spans="1:13" x14ac:dyDescent="0.25">
      <c r="A6" s="38">
        <v>36526</v>
      </c>
      <c r="B6" s="38">
        <v>45884</v>
      </c>
      <c r="C6" s="38" t="s">
        <v>86</v>
      </c>
      <c r="D6" s="38" t="s">
        <v>86</v>
      </c>
      <c r="E6" s="39" t="s">
        <v>86</v>
      </c>
      <c r="F6" s="40">
        <f>DATEDIF(A6, B6, "YM")</f>
      </c>
      <c r="G6" s="41" t="s">
        <v>467</v>
      </c>
      <c r="H6" s="42" t="s">
        <v>468</v>
      </c>
      <c r="I6" s="43" t="s">
        <v>469</v>
      </c>
      <c r="J6" s="56" t="s">
        <v>117</v>
      </c>
      <c r="K6" s="45" t="s">
        <v>470</v>
      </c>
      <c r="L6" s="46" t="s">
        <v>471</v>
      </c>
      <c r="M6" s="47" t="s">
        <v>93</v>
      </c>
    </row>
    <row r="7" ht="38" customHeight="1" spans="1:13" x14ac:dyDescent="0.25">
      <c r="A7" s="48">
        <v>45658</v>
      </c>
      <c r="B7" s="48">
        <v>45884</v>
      </c>
      <c r="C7" s="48" t="s">
        <v>86</v>
      </c>
      <c r="D7" s="48" t="s">
        <v>86</v>
      </c>
      <c r="E7" s="39" t="s">
        <v>86</v>
      </c>
      <c r="F7" s="40">
        <f>YEARFRAC(A7, B7, 1)</f>
      </c>
      <c r="G7" s="49" t="s">
        <v>472</v>
      </c>
      <c r="H7" s="50" t="s">
        <v>473</v>
      </c>
      <c r="I7" s="51" t="s">
        <v>474</v>
      </c>
      <c r="J7" s="57" t="s">
        <v>117</v>
      </c>
      <c r="K7" s="53" t="s">
        <v>475</v>
      </c>
      <c r="L7" s="54" t="s">
        <v>476</v>
      </c>
      <c r="M7" s="55" t="s">
        <v>93</v>
      </c>
    </row>
    <row r="8" ht="38" customHeight="1" spans="1:13" x14ac:dyDescent="0.25">
      <c r="A8" s="38">
        <v>45884</v>
      </c>
      <c r="B8" s="38">
        <v>10</v>
      </c>
      <c r="C8" s="38" t="s">
        <v>86</v>
      </c>
      <c r="D8" s="38" t="s">
        <v>86</v>
      </c>
      <c r="E8" s="39" t="s">
        <v>86</v>
      </c>
      <c r="F8" s="40">
        <f>WORKDAY(A8, B8)</f>
      </c>
      <c r="G8" s="41" t="s">
        <v>477</v>
      </c>
      <c r="H8" s="42" t="s">
        <v>478</v>
      </c>
      <c r="I8" s="43" t="s">
        <v>479</v>
      </c>
      <c r="J8" s="56" t="s">
        <v>117</v>
      </c>
      <c r="K8" s="45" t="s">
        <v>480</v>
      </c>
      <c r="L8" s="46" t="s">
        <v>481</v>
      </c>
      <c r="M8" s="47" t="s">
        <v>93</v>
      </c>
    </row>
    <row r="9" ht="38" customHeight="1" spans="1:13" x14ac:dyDescent="0.25">
      <c r="A9" s="48">
        <v>45870</v>
      </c>
      <c r="B9" s="48">
        <v>45900</v>
      </c>
      <c r="C9" s="48" t="s">
        <v>86</v>
      </c>
      <c r="D9" s="48" t="s">
        <v>86</v>
      </c>
      <c r="E9" s="39" t="s">
        <v>86</v>
      </c>
      <c r="F9" s="40">
        <f>NETWORKDAYS(A9, B9)</f>
      </c>
      <c r="G9" s="49" t="s">
        <v>482</v>
      </c>
      <c r="H9" s="50" t="s">
        <v>483</v>
      </c>
      <c r="I9" s="51" t="s">
        <v>484</v>
      </c>
      <c r="J9" s="52" t="s">
        <v>90</v>
      </c>
      <c r="K9" s="53" t="s">
        <v>485</v>
      </c>
      <c r="L9" s="54" t="s">
        <v>486</v>
      </c>
      <c r="M9" s="55" t="s">
        <v>93</v>
      </c>
    </row>
    <row r="10" ht="38" customHeight="1" spans="1:13" x14ac:dyDescent="0.25">
      <c r="A10" s="38">
        <v>45870</v>
      </c>
      <c r="B10" s="38">
        <v>45900</v>
      </c>
      <c r="C10" s="38" t="s">
        <v>86</v>
      </c>
      <c r="D10" s="38" t="s">
        <v>86</v>
      </c>
      <c r="E10" s="39" t="s">
        <v>86</v>
      </c>
      <c r="F10" s="40">
        <f>NETWORKDAYS.INTL(A10, B10, 11)</f>
      </c>
      <c r="G10" s="41" t="s">
        <v>487</v>
      </c>
      <c r="H10" s="42" t="s">
        <v>488</v>
      </c>
      <c r="I10" s="43" t="s">
        <v>489</v>
      </c>
      <c r="J10" s="58" t="s">
        <v>130</v>
      </c>
      <c r="K10" s="45" t="s">
        <v>490</v>
      </c>
      <c r="L10" s="46" t="s">
        <v>491</v>
      </c>
      <c r="M10" s="47" t="s">
        <v>93</v>
      </c>
    </row>
    <row r="11" ht="38" customHeight="1" spans="1:13" x14ac:dyDescent="0.25">
      <c r="A11" s="48">
        <v>45884</v>
      </c>
      <c r="B11" s="48" t="s">
        <v>86</v>
      </c>
      <c r="C11" s="48" t="s">
        <v>86</v>
      </c>
      <c r="D11" s="48" t="s">
        <v>86</v>
      </c>
      <c r="E11" s="39" t="s">
        <v>86</v>
      </c>
      <c r="F11" s="40">
        <f>WORKDAY(EOMONTH(A11, 0) + 1, -1)</f>
      </c>
      <c r="G11" s="49" t="s">
        <v>477</v>
      </c>
      <c r="H11" s="50" t="s">
        <v>492</v>
      </c>
      <c r="I11" s="51" t="s">
        <v>493</v>
      </c>
      <c r="J11" s="59" t="s">
        <v>130</v>
      </c>
      <c r="K11" s="53" t="s">
        <v>494</v>
      </c>
      <c r="L11" s="54" t="s">
        <v>495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 t="s">
        <v>199</v>
      </c>
      <c r="B2" s="38" t="s">
        <v>86</v>
      </c>
      <c r="C2" s="38" t="s">
        <v>86</v>
      </c>
      <c r="D2" s="38" t="s">
        <v>86</v>
      </c>
      <c r="E2" s="39" t="s">
        <v>86</v>
      </c>
      <c r="F2" s="40">
        <f>TEXTBEFORE(A2, " ")</f>
      </c>
      <c r="G2" s="41" t="s">
        <v>496</v>
      </c>
      <c r="H2" s="42" t="s">
        <v>497</v>
      </c>
      <c r="I2" s="43" t="s">
        <v>498</v>
      </c>
      <c r="J2" s="44" t="s">
        <v>90</v>
      </c>
      <c r="K2" s="45" t="s">
        <v>499</v>
      </c>
      <c r="L2" s="46" t="s">
        <v>500</v>
      </c>
      <c r="M2" s="47" t="s">
        <v>93</v>
      </c>
    </row>
    <row r="3" ht="38" customHeight="1" spans="1:13" x14ac:dyDescent="0.25">
      <c r="A3" s="48" t="s">
        <v>501</v>
      </c>
      <c r="B3" s="48" t="s">
        <v>86</v>
      </c>
      <c r="C3" s="48" t="s">
        <v>86</v>
      </c>
      <c r="D3" s="48" t="s">
        <v>86</v>
      </c>
      <c r="E3" s="39" t="s">
        <v>86</v>
      </c>
      <c r="F3" s="40">
        <f>TEXTAFTER(A3, " ", -1)</f>
      </c>
      <c r="G3" s="49" t="s">
        <v>502</v>
      </c>
      <c r="H3" s="50" t="s">
        <v>503</v>
      </c>
      <c r="I3" s="51" t="s">
        <v>504</v>
      </c>
      <c r="J3" s="52" t="s">
        <v>90</v>
      </c>
      <c r="K3" s="53" t="s">
        <v>505</v>
      </c>
      <c r="L3" s="54" t="s">
        <v>506</v>
      </c>
      <c r="M3" s="55" t="s">
        <v>93</v>
      </c>
    </row>
    <row r="4" ht="38" customHeight="1" spans="1:13" x14ac:dyDescent="0.25">
      <c r="A4" s="38" t="s">
        <v>507</v>
      </c>
      <c r="B4" s="38" t="s">
        <v>86</v>
      </c>
      <c r="C4" s="38" t="s">
        <v>86</v>
      </c>
      <c r="D4" s="38" t="s">
        <v>86</v>
      </c>
      <c r="E4" s="39" t="s">
        <v>86</v>
      </c>
      <c r="F4" s="40">
        <f>TEXTSPLIT(A4, ", ")</f>
      </c>
      <c r="G4" s="41" t="s">
        <v>508</v>
      </c>
      <c r="H4" s="42" t="s">
        <v>509</v>
      </c>
      <c r="I4" s="43" t="s">
        <v>510</v>
      </c>
      <c r="J4" s="44" t="s">
        <v>90</v>
      </c>
      <c r="K4" s="45" t="s">
        <v>511</v>
      </c>
      <c r="L4" s="46" t="s">
        <v>512</v>
      </c>
      <c r="M4" s="47" t="s">
        <v>93</v>
      </c>
    </row>
    <row r="5" ht="38" customHeight="1" spans="1:13" x14ac:dyDescent="0.25">
      <c r="A5" s="48" t="s">
        <v>513</v>
      </c>
      <c r="B5" s="48" t="s">
        <v>86</v>
      </c>
      <c r="C5" s="48" t="s">
        <v>86</v>
      </c>
      <c r="D5" s="48" t="s">
        <v>86</v>
      </c>
      <c r="E5" s="39" t="s">
        <v>86</v>
      </c>
      <c r="F5" s="40">
        <f>TEXTSPLIT(A5, , "; ")</f>
      </c>
      <c r="G5" s="49" t="s">
        <v>514</v>
      </c>
      <c r="H5" s="50" t="s">
        <v>515</v>
      </c>
      <c r="I5" s="51" t="s">
        <v>516</v>
      </c>
      <c r="J5" s="57" t="s">
        <v>117</v>
      </c>
      <c r="K5" s="53" t="s">
        <v>517</v>
      </c>
      <c r="L5" s="54" t="s">
        <v>518</v>
      </c>
      <c r="M5" s="55" t="s">
        <v>93</v>
      </c>
    </row>
    <row r="6" ht="38" customHeight="1" spans="1:13" x14ac:dyDescent="0.25">
      <c r="A6" s="38" t="s">
        <v>519</v>
      </c>
      <c r="B6" s="38" t="s">
        <v>86</v>
      </c>
      <c r="C6" s="38" t="s">
        <v>86</v>
      </c>
      <c r="D6" s="38" t="s">
        <v>86</v>
      </c>
      <c r="E6" s="39" t="s">
        <v>86</v>
      </c>
      <c r="F6" s="40">
        <f>TEXTSPLIT(A6, ":", ";")</f>
      </c>
      <c r="G6" s="41" t="s">
        <v>520</v>
      </c>
      <c r="H6" s="42" t="s">
        <v>521</v>
      </c>
      <c r="I6" s="43" t="s">
        <v>522</v>
      </c>
      <c r="J6" s="58" t="s">
        <v>130</v>
      </c>
      <c r="K6" s="45" t="s">
        <v>523</v>
      </c>
      <c r="L6" s="46" t="s">
        <v>524</v>
      </c>
      <c r="M6" s="47" t="s">
        <v>93</v>
      </c>
    </row>
    <row r="7" ht="38" customHeight="1" spans="1:13" x14ac:dyDescent="0.25">
      <c r="A7" s="48" t="s">
        <v>525</v>
      </c>
      <c r="B7" s="48" t="s">
        <v>86</v>
      </c>
      <c r="C7" s="48" t="s">
        <v>86</v>
      </c>
      <c r="D7" s="48" t="s">
        <v>86</v>
      </c>
      <c r="E7" s="39" t="s">
        <v>86</v>
      </c>
      <c r="F7" s="40">
        <f>TEXTBEFORE(TEXTAFTER(A7, "["), "]")</f>
      </c>
      <c r="G7" s="49" t="s">
        <v>526</v>
      </c>
      <c r="H7" s="50" t="s">
        <v>527</v>
      </c>
      <c r="I7" s="51" t="s">
        <v>528</v>
      </c>
      <c r="J7" s="57" t="s">
        <v>117</v>
      </c>
      <c r="K7" s="53" t="s">
        <v>529</v>
      </c>
      <c r="L7" s="54" t="s">
        <v>530</v>
      </c>
      <c r="M7" s="55" t="s">
        <v>93</v>
      </c>
    </row>
    <row r="8" ht="38" customHeight="1" spans="1:13" x14ac:dyDescent="0.25">
      <c r="A8" s="38" t="s">
        <v>531</v>
      </c>
      <c r="B8" s="38" t="s">
        <v>86</v>
      </c>
      <c r="C8" s="38" t="s">
        <v>86</v>
      </c>
      <c r="D8" s="38" t="s">
        <v>86</v>
      </c>
      <c r="E8" s="39" t="s">
        <v>86</v>
      </c>
      <c r="F8" s="40">
        <f>TEXTAFTER(A8, "-", -1)</f>
      </c>
      <c r="G8" s="41" t="s">
        <v>532</v>
      </c>
      <c r="H8" s="42" t="s">
        <v>533</v>
      </c>
      <c r="I8" s="43" t="s">
        <v>534</v>
      </c>
      <c r="J8" s="44" t="s">
        <v>90</v>
      </c>
      <c r="K8" s="45" t="s">
        <v>535</v>
      </c>
      <c r="L8" s="46" t="s">
        <v>536</v>
      </c>
      <c r="M8" s="47" t="s">
        <v>93</v>
      </c>
    </row>
    <row r="9" ht="38" customHeight="1" spans="1:13" x14ac:dyDescent="0.25">
      <c r="A9" s="48" t="s">
        <v>537</v>
      </c>
      <c r="B9" s="48" t="s">
        <v>86</v>
      </c>
      <c r="C9" s="48" t="s">
        <v>86</v>
      </c>
      <c r="D9" s="48" t="s">
        <v>86</v>
      </c>
      <c r="E9" s="39" t="s">
        <v>86</v>
      </c>
      <c r="F9" s="40">
        <f>TRIM(TEXTSPLIT(A9, ","))</f>
      </c>
      <c r="G9" s="49" t="s">
        <v>538</v>
      </c>
      <c r="H9" s="50" t="s">
        <v>539</v>
      </c>
      <c r="I9" s="51" t="s">
        <v>540</v>
      </c>
      <c r="J9" s="57" t="s">
        <v>117</v>
      </c>
      <c r="K9" s="53" t="s">
        <v>541</v>
      </c>
      <c r="L9" s="54" t="s">
        <v>542</v>
      </c>
      <c r="M9" s="55" t="s">
        <v>93</v>
      </c>
    </row>
    <row r="10" ht="38" customHeight="1" spans="1:13" x14ac:dyDescent="0.25">
      <c r="A10" s="38" t="s">
        <v>543</v>
      </c>
      <c r="B10" s="38" t="s">
        <v>86</v>
      </c>
      <c r="C10" s="38" t="s">
        <v>86</v>
      </c>
      <c r="D10" s="38" t="s">
        <v>86</v>
      </c>
      <c r="E10" s="39" t="s">
        <v>86</v>
      </c>
      <c r="F10" s="40">
        <f>TEXTAFTER(A10, "@", , , , "General-Staff")</f>
      </c>
      <c r="G10" s="41" t="s">
        <v>544</v>
      </c>
      <c r="H10" s="42" t="s">
        <v>545</v>
      </c>
      <c r="I10" s="43" t="s">
        <v>546</v>
      </c>
      <c r="J10" s="58" t="s">
        <v>130</v>
      </c>
      <c r="K10" s="45" t="s">
        <v>547</v>
      </c>
      <c r="L10" s="46" t="s">
        <v>548</v>
      </c>
      <c r="M10" s="47" t="s">
        <v>93</v>
      </c>
    </row>
    <row r="11" ht="38" customHeight="1" spans="1:13" x14ac:dyDescent="0.25">
      <c r="A11" s="48" t="s">
        <v>549</v>
      </c>
      <c r="B11" s="48" t="s">
        <v>86</v>
      </c>
      <c r="C11" s="48" t="s">
        <v>86</v>
      </c>
      <c r="D11" s="48" t="s">
        <v>86</v>
      </c>
      <c r="E11" s="39" t="s">
        <v>86</v>
      </c>
      <c r="F11" s="40">
        <f>TEXTJOIN(" | ", TRUE, TEXTSPLIT(A11, ", "))</f>
      </c>
      <c r="G11" s="49" t="s">
        <v>550</v>
      </c>
      <c r="H11" s="50" t="s">
        <v>551</v>
      </c>
      <c r="I11" s="51" t="s">
        <v>552</v>
      </c>
      <c r="J11" s="57" t="s">
        <v>117</v>
      </c>
      <c r="K11" s="53" t="s">
        <v>553</v>
      </c>
      <c r="L11" s="54" t="s">
        <v>554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 t="s">
        <v>555</v>
      </c>
      <c r="B2" s="38" t="s">
        <v>86</v>
      </c>
      <c r="C2" s="38" t="s">
        <v>86</v>
      </c>
      <c r="D2" s="38" t="s">
        <v>86</v>
      </c>
      <c r="E2" s="39" t="s">
        <v>86</v>
      </c>
      <c r="F2" s="40">
        <f>SUBSTITUTE(A2, " ", "-")</f>
      </c>
      <c r="G2" s="41" t="s">
        <v>556</v>
      </c>
      <c r="H2" s="42" t="s">
        <v>557</v>
      </c>
      <c r="I2" s="43" t="s">
        <v>330</v>
      </c>
      <c r="J2" s="44" t="s">
        <v>90</v>
      </c>
      <c r="K2" s="45" t="s">
        <v>558</v>
      </c>
      <c r="L2" s="46" t="s">
        <v>559</v>
      </c>
      <c r="M2" s="47" t="s">
        <v>93</v>
      </c>
    </row>
    <row r="3" ht="38" customHeight="1" spans="1:13" x14ac:dyDescent="0.25">
      <c r="A3" s="48" t="s">
        <v>560</v>
      </c>
      <c r="B3" s="48" t="s">
        <v>86</v>
      </c>
      <c r="C3" s="48" t="s">
        <v>86</v>
      </c>
      <c r="D3" s="48" t="s">
        <v>86</v>
      </c>
      <c r="E3" s="39" t="s">
        <v>86</v>
      </c>
      <c r="F3" s="40">
        <f>REPLACE(A3, 6, 6, "******")</f>
      </c>
      <c r="G3" s="49" t="s">
        <v>561</v>
      </c>
      <c r="H3" s="50" t="s">
        <v>562</v>
      </c>
      <c r="I3" s="51" t="s">
        <v>295</v>
      </c>
      <c r="J3" s="57" t="s">
        <v>117</v>
      </c>
      <c r="K3" s="53" t="s">
        <v>563</v>
      </c>
      <c r="L3" s="54" t="s">
        <v>564</v>
      </c>
      <c r="M3" s="55" t="s">
        <v>93</v>
      </c>
    </row>
    <row r="4" ht="38" customHeight="1" spans="1:13" x14ac:dyDescent="0.25">
      <c r="A4" s="38" t="s">
        <v>565</v>
      </c>
      <c r="B4" s="38" t="s">
        <v>86</v>
      </c>
      <c r="C4" s="38" t="s">
        <v>86</v>
      </c>
      <c r="D4" s="38" t="s">
        <v>86</v>
      </c>
      <c r="E4" s="39" t="s">
        <v>86</v>
      </c>
      <c r="F4" s="40">
        <f>SUBSTITUTE(A4, "/", " -&gt; ", 2)</f>
      </c>
      <c r="G4" s="41" t="s">
        <v>566</v>
      </c>
      <c r="H4" s="42" t="s">
        <v>567</v>
      </c>
      <c r="I4" s="43" t="s">
        <v>568</v>
      </c>
      <c r="J4" s="56" t="s">
        <v>117</v>
      </c>
      <c r="K4" s="45" t="s">
        <v>569</v>
      </c>
      <c r="L4" s="46" t="s">
        <v>570</v>
      </c>
      <c r="M4" s="47" t="s">
        <v>93</v>
      </c>
    </row>
    <row r="5" ht="38" customHeight="1" spans="1:13" x14ac:dyDescent="0.25">
      <c r="A5" s="48" t="s">
        <v>304</v>
      </c>
      <c r="B5" s="48" t="s">
        <v>86</v>
      </c>
      <c r="C5" s="48" t="s">
        <v>86</v>
      </c>
      <c r="D5" s="48" t="s">
        <v>86</v>
      </c>
      <c r="E5" s="39" t="s">
        <v>86</v>
      </c>
      <c r="F5" s="40">
        <f>LEN(A5)-LEN(SUBSTITUTE(A5, ",", ""))+1</f>
      </c>
      <c r="G5" s="49" t="s">
        <v>305</v>
      </c>
      <c r="H5" s="50" t="s">
        <v>571</v>
      </c>
      <c r="I5" s="51" t="s">
        <v>307</v>
      </c>
      <c r="J5" s="57" t="s">
        <v>117</v>
      </c>
      <c r="K5" s="53" t="s">
        <v>572</v>
      </c>
      <c r="L5" s="54" t="s">
        <v>573</v>
      </c>
      <c r="M5" s="55" t="s">
        <v>93</v>
      </c>
    </row>
    <row r="6" ht="38" customHeight="1" spans="1:13" x14ac:dyDescent="0.25">
      <c r="A6" s="38" t="s">
        <v>310</v>
      </c>
      <c r="B6" s="38" t="s">
        <v>86</v>
      </c>
      <c r="C6" s="38" t="s">
        <v>86</v>
      </c>
      <c r="D6" s="38" t="s">
        <v>86</v>
      </c>
      <c r="E6" s="39" t="s">
        <v>86</v>
      </c>
      <c r="F6" s="40">
        <f>TRIM(SUBSTITUTE(A6, CHAR(160), " "))</f>
      </c>
      <c r="G6" s="41" t="s">
        <v>311</v>
      </c>
      <c r="H6" s="42" t="s">
        <v>574</v>
      </c>
      <c r="I6" s="43" t="s">
        <v>148</v>
      </c>
      <c r="J6" s="56" t="s">
        <v>117</v>
      </c>
      <c r="K6" s="45" t="s">
        <v>575</v>
      </c>
      <c r="L6" s="46" t="s">
        <v>576</v>
      </c>
      <c r="M6" s="47" t="s">
        <v>93</v>
      </c>
    </row>
    <row r="7" ht="38" customHeight="1" spans="1:13" x14ac:dyDescent="0.25">
      <c r="A7" s="48" t="s">
        <v>315</v>
      </c>
      <c r="B7" s="48" t="s">
        <v>86</v>
      </c>
      <c r="C7" s="48" t="s">
        <v>86</v>
      </c>
      <c r="D7" s="48" t="s">
        <v>86</v>
      </c>
      <c r="E7" s="39" t="s">
        <v>86</v>
      </c>
      <c r="F7" s="40">
        <f>SUBSTITUTE(SUBSTITUTE(SUBSTITUTE(SUBSTITUTE(A7, "(", ""), ")", ""), " ", ""), "-", "")</f>
      </c>
      <c r="G7" s="49" t="s">
        <v>316</v>
      </c>
      <c r="H7" s="50" t="s">
        <v>577</v>
      </c>
      <c r="I7" s="51" t="s">
        <v>318</v>
      </c>
      <c r="J7" s="59" t="s">
        <v>130</v>
      </c>
      <c r="K7" s="53" t="s">
        <v>578</v>
      </c>
      <c r="L7" s="54" t="s">
        <v>579</v>
      </c>
      <c r="M7" s="55" t="s">
        <v>93</v>
      </c>
    </row>
    <row r="8" ht="38" customHeight="1" spans="1:13" x14ac:dyDescent="0.25">
      <c r="A8" s="38" t="s">
        <v>321</v>
      </c>
      <c r="B8" s="38" t="s">
        <v>86</v>
      </c>
      <c r="C8" s="38" t="s">
        <v>86</v>
      </c>
      <c r="D8" s="38" t="s">
        <v>86</v>
      </c>
      <c r="E8" s="39" t="s">
        <v>86</v>
      </c>
      <c r="F8" s="40">
        <f>REPLACE(A8, FIND(".", A8) + 1, LEN(A8) - FIND(".", A8), "webp")</f>
      </c>
      <c r="G8" s="41" t="s">
        <v>322</v>
      </c>
      <c r="H8" s="42" t="s">
        <v>580</v>
      </c>
      <c r="I8" s="43" t="s">
        <v>324</v>
      </c>
      <c r="J8" s="56" t="s">
        <v>117</v>
      </c>
      <c r="K8" s="45" t="s">
        <v>581</v>
      </c>
      <c r="L8" s="46" t="s">
        <v>582</v>
      </c>
      <c r="M8" s="47" t="s">
        <v>93</v>
      </c>
    </row>
    <row r="9" ht="38" customHeight="1" spans="1:13" x14ac:dyDescent="0.25">
      <c r="A9" s="48" t="s">
        <v>327</v>
      </c>
      <c r="B9" s="48" t="s">
        <v>86</v>
      </c>
      <c r="C9" s="48" t="s">
        <v>86</v>
      </c>
      <c r="D9" s="48" t="s">
        <v>86</v>
      </c>
      <c r="E9" s="39" t="s">
        <v>86</v>
      </c>
      <c r="F9" s="40">
        <f>SUBSTITUTE(A9, "V1", "V2")</f>
      </c>
      <c r="G9" s="49" t="s">
        <v>328</v>
      </c>
      <c r="H9" s="50" t="s">
        <v>329</v>
      </c>
      <c r="I9" s="51" t="s">
        <v>330</v>
      </c>
      <c r="J9" s="52" t="s">
        <v>90</v>
      </c>
      <c r="K9" s="53" t="s">
        <v>583</v>
      </c>
      <c r="L9" s="54" t="s">
        <v>584</v>
      </c>
      <c r="M9" s="55" t="s">
        <v>93</v>
      </c>
    </row>
    <row r="10" ht="38" customHeight="1" spans="1:13" x14ac:dyDescent="0.25">
      <c r="A10" s="38" t="s">
        <v>333</v>
      </c>
      <c r="B10" s="38" t="s">
        <v>86</v>
      </c>
      <c r="C10" s="38" t="s">
        <v>86</v>
      </c>
      <c r="D10" s="38" t="s">
        <v>86</v>
      </c>
      <c r="E10" s="39" t="s">
        <v>86</v>
      </c>
      <c r="F10" s="40">
        <f>SUBSTITUTE(A10, "/", "|", LEN(A10)-LEN(SUBSTITUTE(A10, "/", "")))</f>
      </c>
      <c r="G10" s="41" t="s">
        <v>334</v>
      </c>
      <c r="H10" s="42" t="s">
        <v>585</v>
      </c>
      <c r="I10" s="43" t="s">
        <v>586</v>
      </c>
      <c r="J10" s="58" t="s">
        <v>130</v>
      </c>
      <c r="K10" s="45" t="s">
        <v>587</v>
      </c>
      <c r="L10" s="46" t="s">
        <v>588</v>
      </c>
      <c r="M10" s="47" t="s">
        <v>93</v>
      </c>
    </row>
    <row r="11" ht="38" customHeight="1" spans="1:13" x14ac:dyDescent="0.25">
      <c r="A11" s="48" t="s">
        <v>339</v>
      </c>
      <c r="B11" s="48" t="s">
        <v>86</v>
      </c>
      <c r="C11" s="48" t="s">
        <v>86</v>
      </c>
      <c r="D11" s="48" t="s">
        <v>86</v>
      </c>
      <c r="E11" s="39" t="s">
        <v>86</v>
      </c>
      <c r="F11" s="40">
        <f>REPLACE(A11, 4, 0, "-")</f>
      </c>
      <c r="G11" s="49" t="s">
        <v>340</v>
      </c>
      <c r="H11" s="50" t="s">
        <v>589</v>
      </c>
      <c r="I11" s="51" t="s">
        <v>590</v>
      </c>
      <c r="J11" s="52" t="s">
        <v>90</v>
      </c>
      <c r="K11" s="53" t="s">
        <v>591</v>
      </c>
      <c r="L11" s="54" t="s">
        <v>592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 t="s">
        <v>593</v>
      </c>
      <c r="B2" s="38" t="s">
        <v>86</v>
      </c>
      <c r="C2" s="38" t="s">
        <v>86</v>
      </c>
      <c r="D2" s="38" t="s">
        <v>86</v>
      </c>
      <c r="E2" s="39" t="s">
        <v>86</v>
      </c>
      <c r="F2" s="40">
        <f>VALUE(A2)</f>
      </c>
      <c r="G2" s="41" t="s">
        <v>594</v>
      </c>
      <c r="H2" s="42" t="s">
        <v>595</v>
      </c>
      <c r="I2" s="43" t="s">
        <v>359</v>
      </c>
      <c r="J2" s="44" t="s">
        <v>90</v>
      </c>
      <c r="K2" s="45" t="s">
        <v>596</v>
      </c>
      <c r="L2" s="46" t="s">
        <v>597</v>
      </c>
      <c r="M2" s="47" t="s">
        <v>93</v>
      </c>
    </row>
    <row r="3" ht="38" customHeight="1" spans="1:13" x14ac:dyDescent="0.25">
      <c r="A3" s="48" t="s">
        <v>598</v>
      </c>
      <c r="B3" s="48" t="s">
        <v>86</v>
      </c>
      <c r="C3" s="48" t="s">
        <v>86</v>
      </c>
      <c r="D3" s="48" t="s">
        <v>86</v>
      </c>
      <c r="E3" s="39" t="s">
        <v>86</v>
      </c>
      <c r="F3" s="40">
        <f>NUMBERVALUE(A3, ",", ".")</f>
      </c>
      <c r="G3" s="49" t="s">
        <v>599</v>
      </c>
      <c r="H3" s="50" t="s">
        <v>352</v>
      </c>
      <c r="I3" s="51" t="s">
        <v>600</v>
      </c>
      <c r="J3" s="57" t="s">
        <v>117</v>
      </c>
      <c r="K3" s="53" t="s">
        <v>601</v>
      </c>
      <c r="L3" s="54" t="s">
        <v>602</v>
      </c>
      <c r="M3" s="55" t="s">
        <v>93</v>
      </c>
    </row>
    <row r="4" ht="38" customHeight="1" spans="1:13" x14ac:dyDescent="0.25">
      <c r="A4" s="38" t="s">
        <v>603</v>
      </c>
      <c r="B4" s="38" t="s">
        <v>86</v>
      </c>
      <c r="C4" s="38" t="s">
        <v>86</v>
      </c>
      <c r="D4" s="38" t="s">
        <v>86</v>
      </c>
      <c r="E4" s="39" t="s">
        <v>86</v>
      </c>
      <c r="F4" s="40">
        <f>DATE(LEFT(A4, 4), MID(A4, 5, 2), RIGHT(A4, 2))</f>
      </c>
      <c r="G4" s="41" t="s">
        <v>604</v>
      </c>
      <c r="H4" s="42" t="s">
        <v>605</v>
      </c>
      <c r="I4" s="43" t="s">
        <v>606</v>
      </c>
      <c r="J4" s="56" t="s">
        <v>117</v>
      </c>
      <c r="K4" s="45" t="s">
        <v>607</v>
      </c>
      <c r="L4" s="46" t="s">
        <v>608</v>
      </c>
      <c r="M4" s="47" t="s">
        <v>93</v>
      </c>
    </row>
    <row r="5" ht="38" customHeight="1" spans="1:13" x14ac:dyDescent="0.25">
      <c r="A5" s="48" t="s">
        <v>609</v>
      </c>
      <c r="B5" s="48" t="s">
        <v>86</v>
      </c>
      <c r="C5" s="48" t="s">
        <v>86</v>
      </c>
      <c r="D5" s="48" t="s">
        <v>86</v>
      </c>
      <c r="E5" s="39" t="s">
        <v>86</v>
      </c>
      <c r="F5" s="40">
        <f>TIMEVALUE(A5)</f>
      </c>
      <c r="G5" s="49" t="s">
        <v>610</v>
      </c>
      <c r="H5" s="50" t="s">
        <v>611</v>
      </c>
      <c r="I5" s="51" t="s">
        <v>612</v>
      </c>
      <c r="J5" s="52" t="s">
        <v>90</v>
      </c>
      <c r="K5" s="53" t="s">
        <v>613</v>
      </c>
      <c r="L5" s="54" t="s">
        <v>614</v>
      </c>
      <c r="M5" s="55" t="s">
        <v>93</v>
      </c>
    </row>
    <row r="6" ht="38" customHeight="1" spans="1:13" x14ac:dyDescent="0.25">
      <c r="A6" s="38" t="s">
        <v>615</v>
      </c>
      <c r="B6" s="38" t="s">
        <v>86</v>
      </c>
      <c r="C6" s="38" t="s">
        <v>86</v>
      </c>
      <c r="D6" s="38" t="s">
        <v>86</v>
      </c>
      <c r="E6" s="39" t="s">
        <v>86</v>
      </c>
      <c r="F6" s="40">
        <f>VALUE(TEXTBEFORE(A6, " "))</f>
      </c>
      <c r="G6" s="41" t="s">
        <v>616</v>
      </c>
      <c r="H6" s="42" t="s">
        <v>617</v>
      </c>
      <c r="I6" s="43" t="s">
        <v>618</v>
      </c>
      <c r="J6" s="56" t="s">
        <v>117</v>
      </c>
      <c r="K6" s="45" t="s">
        <v>619</v>
      </c>
      <c r="L6" s="46" t="s">
        <v>620</v>
      </c>
      <c r="M6" s="47" t="s">
        <v>93</v>
      </c>
    </row>
    <row r="7" ht="38" customHeight="1" spans="1:13" x14ac:dyDescent="0.25">
      <c r="A7" s="48" t="s">
        <v>621</v>
      </c>
      <c r="B7" s="48" t="s">
        <v>86</v>
      </c>
      <c r="C7" s="48" t="s">
        <v>86</v>
      </c>
      <c r="D7" s="48" t="s">
        <v>86</v>
      </c>
      <c r="E7" s="39" t="s">
        <v>86</v>
      </c>
      <c r="F7" s="40">
        <f>NUMBERVALUE(A7, ".", ",")</f>
      </c>
      <c r="G7" s="49" t="s">
        <v>622</v>
      </c>
      <c r="H7" s="50" t="s">
        <v>623</v>
      </c>
      <c r="I7" s="51" t="s">
        <v>600</v>
      </c>
      <c r="J7" s="52" t="s">
        <v>90</v>
      </c>
      <c r="K7" s="53" t="s">
        <v>624</v>
      </c>
      <c r="L7" s="54" t="s">
        <v>625</v>
      </c>
      <c r="M7" s="55" t="s">
        <v>93</v>
      </c>
    </row>
    <row r="8" ht="38" customHeight="1" spans="1:13" x14ac:dyDescent="0.25">
      <c r="A8" s="38" t="s">
        <v>626</v>
      </c>
      <c r="B8" s="38" t="s">
        <v>86</v>
      </c>
      <c r="C8" s="38" t="s">
        <v>86</v>
      </c>
      <c r="D8" s="38" t="s">
        <v>86</v>
      </c>
      <c r="E8" s="39" t="s">
        <v>86</v>
      </c>
      <c r="F8" s="40">
        <f>DATEVALUE(LEFT(A8, 10)) + TIMEVALUE(MID(A8, 12, 8))</f>
      </c>
      <c r="G8" s="41" t="s">
        <v>627</v>
      </c>
      <c r="H8" s="42" t="s">
        <v>628</v>
      </c>
      <c r="I8" s="43" t="s">
        <v>629</v>
      </c>
      <c r="J8" s="58" t="s">
        <v>130</v>
      </c>
      <c r="K8" s="45" t="s">
        <v>630</v>
      </c>
      <c r="L8" s="46" t="s">
        <v>631</v>
      </c>
      <c r="M8" s="47" t="s">
        <v>93</v>
      </c>
    </row>
    <row r="9" ht="38" customHeight="1" spans="1:13" x14ac:dyDescent="0.25">
      <c r="A9" s="48" t="s">
        <v>632</v>
      </c>
      <c r="B9" s="48" t="s">
        <v>86</v>
      </c>
      <c r="C9" s="48" t="s">
        <v>86</v>
      </c>
      <c r="D9" s="48" t="s">
        <v>86</v>
      </c>
      <c r="E9" s="39" t="s">
        <v>86</v>
      </c>
      <c r="F9" s="40">
        <f>NUMBERVALUE(A9)</f>
      </c>
      <c r="G9" s="49" t="s">
        <v>633</v>
      </c>
      <c r="H9" s="50" t="s">
        <v>634</v>
      </c>
      <c r="I9" s="51" t="s">
        <v>600</v>
      </c>
      <c r="J9" s="52" t="s">
        <v>90</v>
      </c>
      <c r="K9" s="53" t="s">
        <v>635</v>
      </c>
      <c r="L9" s="54" t="s">
        <v>636</v>
      </c>
      <c r="M9" s="55" t="s">
        <v>93</v>
      </c>
    </row>
    <row r="10" ht="38" customHeight="1" spans="1:13" x14ac:dyDescent="0.25">
      <c r="A10" s="38" t="s">
        <v>637</v>
      </c>
      <c r="B10" s="38" t="s">
        <v>86</v>
      </c>
      <c r="C10" s="38" t="s">
        <v>86</v>
      </c>
      <c r="D10" s="38" t="s">
        <v>86</v>
      </c>
      <c r="E10" s="39" t="s">
        <v>86</v>
      </c>
      <c r="F10" s="40">
        <f>IFERROR(VALUE(A10), 0)</f>
      </c>
      <c r="G10" s="41" t="s">
        <v>638</v>
      </c>
      <c r="H10" s="42" t="s">
        <v>639</v>
      </c>
      <c r="I10" s="43" t="s">
        <v>640</v>
      </c>
      <c r="J10" s="44" t="s">
        <v>90</v>
      </c>
      <c r="K10" s="45" t="s">
        <v>641</v>
      </c>
      <c r="L10" s="46" t="s">
        <v>642</v>
      </c>
      <c r="M10" s="47" t="s">
        <v>93</v>
      </c>
    </row>
    <row r="11" ht="38" customHeight="1" spans="1:13" x14ac:dyDescent="0.25">
      <c r="A11" s="48" t="s">
        <v>643</v>
      </c>
      <c r="B11" s="48" t="s">
        <v>86</v>
      </c>
      <c r="C11" s="48" t="s">
        <v>86</v>
      </c>
      <c r="D11" s="48" t="s">
        <v>86</v>
      </c>
      <c r="E11" s="39" t="s">
        <v>86</v>
      </c>
      <c r="F11" s="40">
        <f>--A11</f>
      </c>
      <c r="G11" s="49" t="s">
        <v>643</v>
      </c>
      <c r="H11" s="50" t="s">
        <v>644</v>
      </c>
      <c r="I11" s="51" t="s">
        <v>645</v>
      </c>
      <c r="J11" s="52" t="s">
        <v>90</v>
      </c>
      <c r="K11" s="53" t="s">
        <v>646</v>
      </c>
      <c r="L11" s="54" t="s">
        <v>647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 t="s">
        <v>648</v>
      </c>
      <c r="B2" s="38" t="s">
        <v>86</v>
      </c>
      <c r="C2" s="38" t="s">
        <v>86</v>
      </c>
      <c r="D2" s="38" t="s">
        <v>86</v>
      </c>
      <c r="E2" s="39" t="s">
        <v>86</v>
      </c>
      <c r="F2" s="40">
        <f>PROPER(TRIM(CLEAN(A2)))</f>
      </c>
      <c r="G2" s="41" t="s">
        <v>649</v>
      </c>
      <c r="H2" s="42" t="s">
        <v>650</v>
      </c>
      <c r="I2" s="43" t="s">
        <v>651</v>
      </c>
      <c r="J2" s="44" t="s">
        <v>90</v>
      </c>
      <c r="K2" s="45" t="s">
        <v>652</v>
      </c>
      <c r="L2" s="46" t="s">
        <v>653</v>
      </c>
      <c r="M2" s="47" t="s">
        <v>93</v>
      </c>
    </row>
    <row r="3" ht="38" customHeight="1" spans="1:13" x14ac:dyDescent="0.25">
      <c r="A3" s="48" t="s">
        <v>654</v>
      </c>
      <c r="B3" s="48" t="s">
        <v>86</v>
      </c>
      <c r="C3" s="48" t="s">
        <v>86</v>
      </c>
      <c r="D3" s="48" t="s">
        <v>86</v>
      </c>
      <c r="E3" s="39" t="s">
        <v>86</v>
      </c>
      <c r="F3" s="40">
        <f>VALUE(RIGHT(TRIM(A3), 6))</f>
      </c>
      <c r="G3" s="49" t="s">
        <v>655</v>
      </c>
      <c r="H3" s="50" t="s">
        <v>656</v>
      </c>
      <c r="I3" s="51" t="s">
        <v>657</v>
      </c>
      <c r="J3" s="52" t="s">
        <v>90</v>
      </c>
      <c r="K3" s="53" t="s">
        <v>658</v>
      </c>
      <c r="L3" s="54" t="s">
        <v>659</v>
      </c>
      <c r="M3" s="55" t="s">
        <v>93</v>
      </c>
    </row>
    <row r="4" ht="38" customHeight="1" spans="1:13" x14ac:dyDescent="0.25">
      <c r="A4" s="38" t="s">
        <v>660</v>
      </c>
      <c r="B4" s="38" t="s">
        <v>86</v>
      </c>
      <c r="C4" s="38" t="s">
        <v>86</v>
      </c>
      <c r="D4" s="38" t="s">
        <v>86</v>
      </c>
      <c r="E4" s="39" t="s">
        <v>86</v>
      </c>
      <c r="F4" s="40">
        <f>TRIM(MID(A4, FIND(",", A4) + 1, FIND(",", A4, FIND(",", A4) + 1) - FIND(",", A4) - 1))</f>
      </c>
      <c r="G4" s="41" t="s">
        <v>661</v>
      </c>
      <c r="H4" s="42" t="s">
        <v>662</v>
      </c>
      <c r="I4" s="43" t="s">
        <v>663</v>
      </c>
      <c r="J4" s="56" t="s">
        <v>117</v>
      </c>
      <c r="K4" s="45" t="s">
        <v>664</v>
      </c>
      <c r="L4" s="46" t="s">
        <v>665</v>
      </c>
      <c r="M4" s="47" t="s">
        <v>93</v>
      </c>
    </row>
    <row r="5" ht="38" customHeight="1" spans="1:13" x14ac:dyDescent="0.25">
      <c r="A5" s="48" t="s">
        <v>666</v>
      </c>
      <c r="B5" s="48" t="s">
        <v>86</v>
      </c>
      <c r="C5" s="48" t="s">
        <v>86</v>
      </c>
      <c r="D5" s="48" t="s">
        <v>86</v>
      </c>
      <c r="E5" s="39" t="s">
        <v>86</v>
      </c>
      <c r="F5" s="40">
        <f>"+91-" &amp; RIGHT(SUBSTITUTE(SUBSTITUTE(SUBSTITUTE(A5, "-", ""), " ", ""), "(0)", ""), 10)</f>
      </c>
      <c r="G5" s="49" t="s">
        <v>667</v>
      </c>
      <c r="H5" s="50" t="s">
        <v>668</v>
      </c>
      <c r="I5" s="51" t="s">
        <v>669</v>
      </c>
      <c r="J5" s="57" t="s">
        <v>117</v>
      </c>
      <c r="K5" s="53" t="s">
        <v>670</v>
      </c>
      <c r="L5" s="54" t="s">
        <v>671</v>
      </c>
      <c r="M5" s="55" t="s">
        <v>93</v>
      </c>
    </row>
    <row r="6" ht="38" customHeight="1" spans="1:13" x14ac:dyDescent="0.25">
      <c r="A6" s="38" t="s">
        <v>672</v>
      </c>
      <c r="B6" s="38" t="s">
        <v>86</v>
      </c>
      <c r="C6" s="38" t="s">
        <v>86</v>
      </c>
      <c r="D6" s="38" t="s">
        <v>86</v>
      </c>
      <c r="E6" s="39" t="s">
        <v>86</v>
      </c>
      <c r="F6" s="40">
        <f>DATE(RIGHT(A6, 4), LEFT(A6, 2), MID(A6, 4, 2))</f>
      </c>
      <c r="G6" s="41" t="s">
        <v>604</v>
      </c>
      <c r="H6" s="42" t="s">
        <v>673</v>
      </c>
      <c r="I6" s="43" t="s">
        <v>674</v>
      </c>
      <c r="J6" s="56" t="s">
        <v>117</v>
      </c>
      <c r="K6" s="45" t="s">
        <v>675</v>
      </c>
      <c r="L6" s="46" t="s">
        <v>676</v>
      </c>
      <c r="M6" s="47" t="s">
        <v>93</v>
      </c>
    </row>
    <row r="7" ht="38" customHeight="1" spans="1:13" x14ac:dyDescent="0.25">
      <c r="A7" s="48" t="s">
        <v>677</v>
      </c>
      <c r="B7" s="48" t="s">
        <v>86</v>
      </c>
      <c r="C7" s="48" t="s">
        <v>86</v>
      </c>
      <c r="D7" s="48" t="s">
        <v>86</v>
      </c>
      <c r="E7" s="39" t="s">
        <v>86</v>
      </c>
      <c r="F7" s="40">
        <f>LOWER(TRIM(MID(A7, FIND("@", A7) + 1, LEN(A7))))</f>
      </c>
      <c r="G7" s="49" t="s">
        <v>678</v>
      </c>
      <c r="H7" s="50" t="s">
        <v>679</v>
      </c>
      <c r="I7" s="51" t="s">
        <v>680</v>
      </c>
      <c r="J7" s="52" t="s">
        <v>90</v>
      </c>
      <c r="K7" s="53" t="s">
        <v>681</v>
      </c>
      <c r="L7" s="54" t="s">
        <v>682</v>
      </c>
      <c r="M7" s="55" t="s">
        <v>93</v>
      </c>
    </row>
    <row r="8" ht="38" customHeight="1" spans="1:13" x14ac:dyDescent="0.25">
      <c r="A8" s="38" t="s">
        <v>683</v>
      </c>
      <c r="B8" s="38" t="s">
        <v>86</v>
      </c>
      <c r="C8" s="38" t="s">
        <v>86</v>
      </c>
      <c r="D8" s="38" t="s">
        <v>86</v>
      </c>
      <c r="E8" s="39" t="s">
        <v>86</v>
      </c>
      <c r="F8" s="40">
        <f>IF(ISNUMBER(FIND(".", A8)), LEFT(A8, FIND(".", A8)), "Individual")</f>
      </c>
      <c r="G8" s="41" t="s">
        <v>684</v>
      </c>
      <c r="H8" s="42" t="s">
        <v>685</v>
      </c>
      <c r="I8" s="43" t="s">
        <v>686</v>
      </c>
      <c r="J8" s="56" t="s">
        <v>117</v>
      </c>
      <c r="K8" s="45" t="s">
        <v>687</v>
      </c>
      <c r="L8" s="46" t="s">
        <v>688</v>
      </c>
      <c r="M8" s="47" t="s">
        <v>93</v>
      </c>
    </row>
    <row r="9" ht="38" customHeight="1" spans="1:13" x14ac:dyDescent="0.25">
      <c r="A9" s="48" t="s">
        <v>689</v>
      </c>
      <c r="B9" s="48" t="s">
        <v>86</v>
      </c>
      <c r="C9" s="48" t="s">
        <v>86</v>
      </c>
      <c r="D9" s="48" t="s">
        <v>86</v>
      </c>
      <c r="E9" s="39" t="s">
        <v>86</v>
      </c>
      <c r="F9" s="40">
        <f>TRIM(TEXTSPLIT(A9, ","))</f>
      </c>
      <c r="G9" s="49" t="s">
        <v>690</v>
      </c>
      <c r="H9" s="50" t="s">
        <v>691</v>
      </c>
      <c r="I9" s="51" t="s">
        <v>692</v>
      </c>
      <c r="J9" s="57" t="s">
        <v>117</v>
      </c>
      <c r="K9" s="53" t="s">
        <v>693</v>
      </c>
      <c r="L9" s="54" t="s">
        <v>694</v>
      </c>
      <c r="M9" s="55" t="s">
        <v>93</v>
      </c>
    </row>
    <row r="10" ht="38" customHeight="1" spans="1:13" x14ac:dyDescent="0.25">
      <c r="A10" s="38">
        <v>1776263400</v>
      </c>
      <c r="B10" s="38" t="s">
        <v>86</v>
      </c>
      <c r="C10" s="38" t="s">
        <v>86</v>
      </c>
      <c r="D10" s="38" t="s">
        <v>86</v>
      </c>
      <c r="E10" s="39" t="s">
        <v>86</v>
      </c>
      <c r="F10" s="40">
        <f>DATE(1970, 1, 1) + (A10 / 86400)</f>
      </c>
      <c r="G10" s="41" t="s">
        <v>695</v>
      </c>
      <c r="H10" s="42" t="s">
        <v>696</v>
      </c>
      <c r="I10" s="43" t="s">
        <v>697</v>
      </c>
      <c r="J10" s="58" t="s">
        <v>130</v>
      </c>
      <c r="K10" s="45" t="s">
        <v>698</v>
      </c>
      <c r="L10" s="46" t="s">
        <v>699</v>
      </c>
      <c r="M10" s="47" t="s">
        <v>93</v>
      </c>
    </row>
    <row r="11" ht="38" customHeight="1" spans="1:13" x14ac:dyDescent="0.25">
      <c r="A11" s="48" t="s">
        <v>700</v>
      </c>
      <c r="B11" s="48" t="s">
        <v>86</v>
      </c>
      <c r="C11" s="48" t="s">
        <v>86</v>
      </c>
      <c r="D11" s="48" t="s">
        <v>86</v>
      </c>
      <c r="E11" s="39" t="s">
        <v>86</v>
      </c>
      <c r="F11" s="40">
        <f>TEXTBEFORE(TEXTAFTER(A11, "lead:"), "|") &amp; " (" &amp; TEXT(DATEVALUE(MID(A11, FIND("|", A11)+1, 10)), "dd-mmm-yyyy") &amp; ")"</f>
      </c>
      <c r="G11" s="49" t="s">
        <v>701</v>
      </c>
      <c r="H11" s="50" t="s">
        <v>702</v>
      </c>
      <c r="I11" s="51" t="s">
        <v>703</v>
      </c>
      <c r="J11" s="59" t="s">
        <v>130</v>
      </c>
      <c r="K11" s="53" t="s">
        <v>704</v>
      </c>
      <c r="L11" s="54" t="s">
        <v>705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11"/>
  <sheetViews>
    <sheetView workbookViewId="0"/>
  </sheetViews>
  <sheetFormatPr defaultRowHeight="15" outlineLevelRow="0" outlineLevelCol="0" x14ac:dyDescent="55"/>
  <cols>
    <col min="1" max="1" width="28" customWidth="1"/>
    <col min="2" max="2" width="24" customWidth="1"/>
    <col min="3" max="4" width="20" customWidth="1"/>
    <col min="5" max="6" width="34" customWidth="1"/>
    <col min="7" max="7" width="26" customWidth="1"/>
    <col min="8" max="8" width="32" customWidth="1"/>
    <col min="9" max="9" width="22" customWidth="1"/>
    <col min="10" max="10" width="15" customWidth="1"/>
    <col min="11" max="11" width="44" customWidth="1"/>
    <col min="12" max="12" width="48" customWidth="1"/>
    <col min="13" max="13" width="14" customWidth="1"/>
  </cols>
  <sheetData>
    <row r="1" ht="30" customHeight="1" spans="1:13" x14ac:dyDescent="0.25">
      <c r="A1" s="33" t="s">
        <v>73</v>
      </c>
      <c r="B1" s="33" t="s">
        <v>74</v>
      </c>
      <c r="C1" s="33" t="s">
        <v>75</v>
      </c>
      <c r="D1" s="33" t="s">
        <v>76</v>
      </c>
      <c r="E1" s="34" t="s">
        <v>77</v>
      </c>
      <c r="F1" s="35" t="s">
        <v>78</v>
      </c>
      <c r="G1" s="36" t="s">
        <v>79</v>
      </c>
      <c r="H1" s="36" t="s">
        <v>80</v>
      </c>
      <c r="I1" s="36" t="s">
        <v>81</v>
      </c>
      <c r="J1" s="33" t="s">
        <v>32</v>
      </c>
      <c r="K1" s="36" t="s">
        <v>82</v>
      </c>
      <c r="L1" s="36" t="s">
        <v>83</v>
      </c>
      <c r="M1" s="37" t="s">
        <v>84</v>
      </c>
    </row>
    <row r="2" ht="38" customHeight="1" spans="1:13" x14ac:dyDescent="0.25">
      <c r="A2" s="38">
        <v>0.375</v>
      </c>
      <c r="B2" s="38">
        <v>0.729166667</v>
      </c>
      <c r="C2" s="38" t="s">
        <v>86</v>
      </c>
      <c r="D2" s="38" t="s">
        <v>86</v>
      </c>
      <c r="E2" s="39" t="s">
        <v>86</v>
      </c>
      <c r="F2" s="40">
        <f>(B2 - A2) * 24</f>
      </c>
      <c r="G2" s="41" t="s">
        <v>706</v>
      </c>
      <c r="H2" s="42" t="s">
        <v>707</v>
      </c>
      <c r="I2" s="43" t="s">
        <v>708</v>
      </c>
      <c r="J2" s="44" t="s">
        <v>90</v>
      </c>
      <c r="K2" s="45" t="s">
        <v>709</v>
      </c>
      <c r="L2" s="46" t="s">
        <v>710</v>
      </c>
      <c r="M2" s="47" t="s">
        <v>93</v>
      </c>
    </row>
    <row r="3" ht="38" customHeight="1" spans="1:13" x14ac:dyDescent="0.25">
      <c r="A3" s="48">
        <v>0.916666667</v>
      </c>
      <c r="B3" s="48">
        <v>0.270833333</v>
      </c>
      <c r="C3" s="48" t="s">
        <v>86</v>
      </c>
      <c r="D3" s="48" t="s">
        <v>86</v>
      </c>
      <c r="E3" s="39" t="s">
        <v>86</v>
      </c>
      <c r="F3" s="40">
        <f>MOD(B3 - A3, 1) * 24</f>
      </c>
      <c r="G3" s="49" t="s">
        <v>706</v>
      </c>
      <c r="H3" s="50" t="s">
        <v>711</v>
      </c>
      <c r="I3" s="51" t="s">
        <v>712</v>
      </c>
      <c r="J3" s="57" t="s">
        <v>117</v>
      </c>
      <c r="K3" s="53" t="s">
        <v>713</v>
      </c>
      <c r="L3" s="54" t="s">
        <v>714</v>
      </c>
      <c r="M3" s="55" t="s">
        <v>93</v>
      </c>
    </row>
    <row r="4" ht="38" customHeight="1" spans="1:13" x14ac:dyDescent="0.25">
      <c r="A4" s="38">
        <v>0.354166667</v>
      </c>
      <c r="B4" s="38">
        <v>0.75</v>
      </c>
      <c r="C4" s="38">
        <v>0.03125</v>
      </c>
      <c r="D4" s="38" t="s">
        <v>86</v>
      </c>
      <c r="E4" s="39" t="s">
        <v>86</v>
      </c>
      <c r="F4" s="40">
        <f>MAX(0, (MOD(B4 - A4, 1) - C4) * 24)</f>
      </c>
      <c r="G4" s="41" t="s">
        <v>715</v>
      </c>
      <c r="H4" s="42" t="s">
        <v>716</v>
      </c>
      <c r="I4" s="43" t="s">
        <v>717</v>
      </c>
      <c r="J4" s="56" t="s">
        <v>117</v>
      </c>
      <c r="K4" s="45" t="s">
        <v>718</v>
      </c>
      <c r="L4" s="46" t="s">
        <v>719</v>
      </c>
      <c r="M4" s="47" t="s">
        <v>93</v>
      </c>
    </row>
    <row r="5" ht="38" customHeight="1" spans="1:13" x14ac:dyDescent="0.25">
      <c r="A5" s="48">
        <v>10.5</v>
      </c>
      <c r="B5" s="48" t="s">
        <v>86</v>
      </c>
      <c r="C5" s="48" t="s">
        <v>86</v>
      </c>
      <c r="D5" s="48" t="s">
        <v>86</v>
      </c>
      <c r="E5" s="39" t="s">
        <v>86</v>
      </c>
      <c r="F5" s="40">
        <f>MAX(0, A5 - 8)</f>
      </c>
      <c r="G5" s="49" t="s">
        <v>720</v>
      </c>
      <c r="H5" s="50" t="s">
        <v>721</v>
      </c>
      <c r="I5" s="51" t="s">
        <v>722</v>
      </c>
      <c r="J5" s="52" t="s">
        <v>90</v>
      </c>
      <c r="K5" s="53" t="s">
        <v>723</v>
      </c>
      <c r="L5" s="54" t="s">
        <v>724</v>
      </c>
      <c r="M5" s="55" t="s">
        <v>93</v>
      </c>
    </row>
    <row r="6" ht="38" customHeight="1" spans="1:13" x14ac:dyDescent="0.25">
      <c r="A6" s="38">
        <v>13</v>
      </c>
      <c r="B6" s="38" t="s">
        <v>86</v>
      </c>
      <c r="C6" s="38" t="s">
        <v>86</v>
      </c>
      <c r="D6" s="38" t="s">
        <v>86</v>
      </c>
      <c r="E6" s="39" t="s">
        <v>86</v>
      </c>
      <c r="F6" s="40">
        <f>MEDIAN(0, 4, A6 - 8)</f>
      </c>
      <c r="G6" s="41" t="s">
        <v>725</v>
      </c>
      <c r="H6" s="42" t="s">
        <v>726</v>
      </c>
      <c r="I6" s="43" t="s">
        <v>727</v>
      </c>
      <c r="J6" s="58" t="s">
        <v>130</v>
      </c>
      <c r="K6" s="45" t="s">
        <v>728</v>
      </c>
      <c r="L6" s="46" t="s">
        <v>729</v>
      </c>
      <c r="M6" s="47" t="s">
        <v>93</v>
      </c>
    </row>
    <row r="7" ht="38" customHeight="1" spans="1:13" x14ac:dyDescent="0.25">
      <c r="A7" s="48">
        <v>0.338194444</v>
      </c>
      <c r="B7" s="48" t="s">
        <v>86</v>
      </c>
      <c r="C7" s="48" t="s">
        <v>86</v>
      </c>
      <c r="D7" s="48" t="s">
        <v>86</v>
      </c>
      <c r="E7" s="39" t="s">
        <v>86</v>
      </c>
      <c r="F7" s="40">
        <f>MROUND(A7, TIME(0, 15, 0))</f>
      </c>
      <c r="G7" s="49" t="s">
        <v>730</v>
      </c>
      <c r="H7" s="50" t="s">
        <v>731</v>
      </c>
      <c r="I7" s="51" t="s">
        <v>732</v>
      </c>
      <c r="J7" s="57" t="s">
        <v>117</v>
      </c>
      <c r="K7" s="53" t="s">
        <v>733</v>
      </c>
      <c r="L7" s="54" t="s">
        <v>734</v>
      </c>
      <c r="M7" s="55" t="s">
        <v>93</v>
      </c>
    </row>
    <row r="8" ht="38" customHeight="1" spans="1:13" x14ac:dyDescent="0.25">
      <c r="A8" s="38">
        <v>0.354166667</v>
      </c>
      <c r="B8" s="38">
        <v>0.375</v>
      </c>
      <c r="C8" s="38">
        <v>0.416666667</v>
      </c>
      <c r="D8" s="38">
        <v>0.458333333</v>
      </c>
      <c r="E8" s="39" t="s">
        <v>86</v>
      </c>
      <c r="F8" s="40">
        <f>SUM(A8:D8)</f>
      </c>
      <c r="G8" s="41" t="s">
        <v>735</v>
      </c>
      <c r="H8" s="42" t="s">
        <v>736</v>
      </c>
      <c r="I8" s="43" t="s">
        <v>737</v>
      </c>
      <c r="J8" s="44" t="s">
        <v>90</v>
      </c>
      <c r="K8" s="45" t="s">
        <v>738</v>
      </c>
      <c r="L8" s="46" t="s">
        <v>739</v>
      </c>
      <c r="M8" s="47" t="s">
        <v>93</v>
      </c>
    </row>
    <row r="9" ht="38" customHeight="1" spans="1:13" x14ac:dyDescent="0.25">
      <c r="A9" s="48">
        <v>46130</v>
      </c>
      <c r="B9" s="48">
        <v>8</v>
      </c>
      <c r="C9" s="48" t="s">
        <v>86</v>
      </c>
      <c r="D9" s="48" t="s">
        <v>86</v>
      </c>
      <c r="E9" s="39" t="s">
        <v>86</v>
      </c>
      <c r="F9" s="40">
        <f>IF(WEEKDAY(A9, 2) &gt;= 6, B9 * 1.5, B9 * 1.0)</f>
      </c>
      <c r="G9" s="49" t="s">
        <v>740</v>
      </c>
      <c r="H9" s="50" t="s">
        <v>741</v>
      </c>
      <c r="I9" s="51" t="s">
        <v>424</v>
      </c>
      <c r="J9" s="57" t="s">
        <v>117</v>
      </c>
      <c r="K9" s="53" t="s">
        <v>742</v>
      </c>
      <c r="L9" s="54" t="s">
        <v>743</v>
      </c>
      <c r="M9" s="55" t="s">
        <v>93</v>
      </c>
    </row>
    <row r="10" ht="38" customHeight="1" spans="1:13" x14ac:dyDescent="0.25">
      <c r="A10" s="38">
        <v>0.416666667</v>
      </c>
      <c r="B10" s="38">
        <v>0.604166667</v>
      </c>
      <c r="C10" s="38">
        <v>0.75</v>
      </c>
      <c r="D10" s="38">
        <v>0.979166667</v>
      </c>
      <c r="E10" s="39" t="s">
        <v>86</v>
      </c>
      <c r="F10" s="40">
        <f>(MOD(B10 - A10, 1) + MOD(D10 - C10, 1)) * 24</f>
      </c>
      <c r="G10" s="41" t="s">
        <v>744</v>
      </c>
      <c r="H10" s="42" t="s">
        <v>745</v>
      </c>
      <c r="I10" s="43" t="s">
        <v>746</v>
      </c>
      <c r="J10" s="56" t="s">
        <v>117</v>
      </c>
      <c r="K10" s="45" t="s">
        <v>747</v>
      </c>
      <c r="L10" s="46" t="s">
        <v>748</v>
      </c>
      <c r="M10" s="47" t="s">
        <v>93</v>
      </c>
    </row>
    <row r="11" ht="38" customHeight="1" spans="1:13" x14ac:dyDescent="0.25">
      <c r="A11" s="48">
        <v>10.5</v>
      </c>
      <c r="B11" s="48">
        <v>500</v>
      </c>
      <c r="C11" s="48" t="s">
        <v>86</v>
      </c>
      <c r="D11" s="48" t="s">
        <v>86</v>
      </c>
      <c r="E11" s="39" t="s">
        <v>86</v>
      </c>
      <c r="F11" s="40">
        <f>(MIN(8, A11) * B11) + (MAX(0, A11 - 8) * B11 * 1.5)</f>
      </c>
      <c r="G11" s="49" t="s">
        <v>749</v>
      </c>
      <c r="H11" s="50" t="s">
        <v>750</v>
      </c>
      <c r="I11" s="51" t="s">
        <v>751</v>
      </c>
      <c r="J11" s="59" t="s">
        <v>130</v>
      </c>
      <c r="K11" s="53" t="s">
        <v>752</v>
      </c>
      <c r="L11" s="54" t="s">
        <v>753</v>
      </c>
      <c r="M11" s="55" t="s">
        <v>93</v>
      </c>
    </row>
  </sheetData>
  <hyperlinks>
    <hyperlink ref="M2" r:id="rId1" location="#'📋 Master Index &amp; Lab Guide'!A1"/>
    <hyperlink ref="M3" r:id="rId2" location="#'📋 Master Index &amp; Lab Guide'!A1"/>
    <hyperlink ref="M4" r:id="rId3" location="#'📋 Master Index &amp; Lab Guide'!A1"/>
    <hyperlink ref="M5" r:id="rId4" location="#'📋 Master Index &amp; Lab Guide'!A1"/>
    <hyperlink ref="M6" r:id="rId5" location="#'📋 Master Index &amp; Lab Guide'!A1"/>
    <hyperlink ref="M7" r:id="rId6" location="#'📋 Master Index &amp; Lab Guide'!A1"/>
    <hyperlink ref="M8" r:id="rId7" location="#'📋 Master Index &amp; Lab Guide'!A1"/>
    <hyperlink ref="M9" r:id="rId8" location="#'📋 Master Index &amp; Lab Guide'!A1"/>
    <hyperlink ref="M10" r:id="rId9" location="#'📋 Master Index &amp; Lab Guide'!A1"/>
    <hyperlink ref="M11" r:id="rId10" location="#'📋 Master Index &amp; Lab Guid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📋 Master Index &amp; Lab Guide</vt:lpstr>
      <vt:lpstr>T00 - Text Clean &amp; Case</vt:lpstr>
      <vt:lpstr>T01 - Substrings &amp; Search</vt:lpstr>
      <vt:lpstr>T02 - Concatenation &amp; Join</vt:lpstr>
      <vt:lpstr>T03 - Replace &amp; Substitution</vt:lpstr>
      <vt:lpstr>T04 - Number &amp; Text Format</vt:lpstr>
      <vt:lpstr>T05 - Core Date Operations</vt:lpstr>
      <vt:lpstr>T06 - Temporal Shifts &amp; EOM</vt:lpstr>
      <vt:lpstr>T08 - Modern Dynamic Text</vt:lpstr>
      <vt:lpstr>T09 - String Masking &amp; Subs</vt:lpstr>
      <vt:lpstr>T10 - Text-to-Number Coercion</vt:lpstr>
      <vt:lpstr>T11 - Industrial ETL Pipeline</vt:lpstr>
      <vt:lpstr>T12 - Shift Overtime Engine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 Centre of Excellence</dc:creator>
  <dc:title/>
  <dc:subject/>
  <dc:description/>
  <cp:keywords/>
  <cp:category/>
  <cp:lastModifiedBy>Sukanta Hui</cp:lastModifiedBy>
  <dcterms:created xsi:type="dcterms:W3CDTF">2026-09-17T09:24:49Z</dcterms:created>
  <dcterms:modified xsi:type="dcterms:W3CDTF">2026-09-17T09:24:49Z</dcterms:modified>
</cp:coreProperties>
</file>